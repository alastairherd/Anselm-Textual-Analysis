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xtual (A–C)" sheetId="1" state="visible" r:id="rId3"/>
    <sheet name="Thematic (D)" sheetId="2" state="visible" r:id="rId4"/>
    <sheet name="Reviewed-out" sheetId="3" state="visible" r:id="rId5"/>
    <sheet name="Density" sheetId="4" state="visible" r:id="rId6"/>
    <sheet name="Summary" sheetId="5" state="visible" r:id="rId7"/>
  </sheets>
  <definedNames>
    <definedName function="false" hidden="true" localSheetId="0" name="_xlnm._FilterDatabase" vbProcedure="false">'Textual (A–C)'!$A$1:$J$1</definedName>
    <definedName function="false" hidden="true" localSheetId="1" name="_xlnm._FilterDatabase" vbProcedure="false">'Thematic (D)'!$A$1:$G$1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<sst xmlns="http://schemas.openxmlformats.org/spreadsheetml/2006/main" count="2029" uniqueCount="833">
  <si>
    <t xml:space="preserve">Tier</t>
  </si>
  <si>
    <t xml:space="preserve">Conf</t>
  </si>
  <si>
    <t xml:space="preserve">Work</t>
  </si>
  <si>
    <t xml:space="preserve">§</t>
  </si>
  <si>
    <t xml:space="preserve">Reference</t>
  </si>
  <si>
    <t xml:space="preserve">Channel</t>
  </si>
  <si>
    <t xml:space="preserve">Anselm text</t>
  </si>
  <si>
    <t xml:space="preserve">Vulgate text</t>
  </si>
  <si>
    <t xml:space="preserve">Shared phrase</t>
  </si>
  <si>
    <t xml:space="preserve">Context note</t>
  </si>
  <si>
    <t xml:space="preserve">A</t>
  </si>
  <si>
    <t xml:space="preserve">high</t>
  </si>
  <si>
    <t xml:space="preserve">Monologion</t>
  </si>
  <si>
    <t xml:space="preserve">Acts 8:33</t>
  </si>
  <si>
    <t xml:space="preserve">n-gram</t>
  </si>
  <si>
    <t xml:space="preserve">Generationem eius quis enarrabit?</t>
  </si>
  <si>
    <t xml:space="preserve">In humilitate judicium ejus sublatum est. Generationem ejus quis enarrabit? quoniam tolletur de terra vita ejus.]</t>
  </si>
  <si>
    <t xml:space="preserve">generationem eius quis enarrabit</t>
  </si>
  <si>
    <t xml:space="preserve">Isaiah 53:8</t>
  </si>
  <si>
    <t xml:space="preserve">De angustia, et de judicio sublatus est. Generationem ejus quis enarrabit? quia abscissus est de terra viventium: propter scelus populi mei percussi e…</t>
  </si>
  <si>
    <t xml:space="preserve">Isaiah 53:8, quoted at Acts 8:33 (parallel)</t>
  </si>
  <si>
    <t xml:space="preserve">1 Corinthians 13:12</t>
  </si>
  <si>
    <t xml:space="preserve">context-review</t>
  </si>
  <si>
    <t xml:space="preserve">Ut quod “nunc” uidet quasi “per speculum et in aenigmate, tunc” uideat “facie ad faciem”.</t>
  </si>
  <si>
    <t xml:space="preserve">Videmus nunc per speculum in aenigmate: tunc autem facie ad faciem. Nunc cognosco ex parte: tunc autem cognoscam sicut et cognitus sum.</t>
  </si>
  <si>
    <t xml:space="preserve">Verbatim: "per speculum et in aenigmate... facie ad faciem" — Anselm-quoted</t>
  </si>
  <si>
    <t xml:space="preserve">Proslogion</t>
  </si>
  <si>
    <t xml:space="preserve">Psalms 12:1</t>
  </si>
  <si>
    <t xml:space="preserve">"usquequo auertis faciem tuam" a</t>
  </si>
  <si>
    <t xml:space="preserve">In finem. Psalmus David. [Usquequo, Domine, oblivisceris me in finem? usquequo avertis faciem tuam a me?</t>
  </si>
  <si>
    <t xml:space="preserve">usquequo auertis faciem tuam a</t>
  </si>
  <si>
    <t xml:space="preserve">Psalms 13:1</t>
  </si>
  <si>
    <t xml:space="preserve">"dixit insipiens in corde</t>
  </si>
  <si>
    <t xml:space="preserve">In finem. Psalmus David. [Dixit insipiens in corde suo: Non est Deus. Corrupti sunt, et abominabiles facti sunt in studiis suis; non est qui faciat bo…</t>
  </si>
  <si>
    <t xml:space="preserve">dixit insipiens in corde</t>
  </si>
  <si>
    <t xml:space="preserve">Vulgate Ps 13:1 = Ps 52:1; the verse the whole Proslogion turns on</t>
  </si>
  <si>
    <t xml:space="preserve">Psalms 52:1</t>
  </si>
  <si>
    <t xml:space="preserve">In finem, pro Maeleth intelligentiae David. [Dixit insipiens in corde suo: Non est Deus.</t>
  </si>
  <si>
    <t xml:space="preserve">Psalms 144:17</t>
  </si>
  <si>
    <t xml:space="preserve">"iustus dominus in omnibus uiis suis". Et</t>
  </si>
  <si>
    <t xml:space="preserve">Justus Dominus in omnibus viis suis, et sanctus in omnibus operibus suis.</t>
  </si>
  <si>
    <t xml:space="preserve">iustus dominus in omnibus uiis suis et</t>
  </si>
  <si>
    <t xml:space="preserve">Psalms 24:10</t>
  </si>
  <si>
    <t xml:space="preserve">uiae domini misericordia et ueritas",</t>
  </si>
  <si>
    <t xml:space="preserve">Universae viae Domini, misericordia et veritas, requirentibus testamentum ejus et testimonia ejus.</t>
  </si>
  <si>
    <t xml:space="preserve">uiae domini misericordia et ueritas</t>
  </si>
  <si>
    <t xml:space="preserve">Psalms 42:3</t>
  </si>
  <si>
    <t xml:space="preserve">"lucem tuam et ueritatem tuam"?</t>
  </si>
  <si>
    <t xml:space="preserve">Emitte lucem tuam et veritatem tuam: ipsa me deduxerunt, et adduxerunt in montem sanctum tuum, et in tabernacula tua.</t>
  </si>
  <si>
    <t xml:space="preserve">lucem tuam et ueritatem tuam</t>
  </si>
  <si>
    <t xml:space="preserve">Psalms 26:9</t>
  </si>
  <si>
    <t xml:space="preserve">ne auertas faciem tuam a me".</t>
  </si>
  <si>
    <t xml:space="preserve">Ne avertas faciem tuam a me; ne declines in ira a servo tuo. Adjutor meus esto; ne derelinquas me, neque despicias me, Deus salutaris meus.</t>
  </si>
  <si>
    <t xml:space="preserve">ne auertas faciem tuam a me</t>
  </si>
  <si>
    <t xml:space="preserve">Recurring Psalter formula; parallels Ps 68:18, 101:3, 142:7</t>
  </si>
  <si>
    <t xml:space="preserve">Psalms 142:7</t>
  </si>
  <si>
    <t xml:space="preserve">auertas faciem tuam a me".</t>
  </si>
  <si>
    <t xml:space="preserve">Velociter exaudi me, Domine; defecit spiritus meus. Non avertas faciem tuam a me, et similis ero descendentibus in lacum.</t>
  </si>
  <si>
    <t xml:space="preserve">auertas faciem tuam a me</t>
  </si>
  <si>
    <t xml:space="preserve">Psalms 101:3</t>
  </si>
  <si>
    <t xml:space="preserve">Non avertas faciem tuam a me: in quacumque die tribulor, inclina ad me aurem tuam; in quacumque die invocavero te, velociter exaudi me.</t>
  </si>
  <si>
    <t xml:space="preserve">Psalms 68:18</t>
  </si>
  <si>
    <t xml:space="preserve">ne auertas faciem tuam a</t>
  </si>
  <si>
    <t xml:space="preserve">Et ne avertas faciem tuam a puero tuo; quoniam tribulor, velociter exaudi me.</t>
  </si>
  <si>
    <t xml:space="preserve">Psalms 24:7</t>
  </si>
  <si>
    <t xml:space="preserve">tu "propter bonitatem tuam, domine".</t>
  </si>
  <si>
    <t xml:space="preserve">Delicta juventutis meae, et ignorantias meas, ne memineris. Secundum misericordiam tuam memento mei tu, propter bonitatem tuam, Domine.</t>
  </si>
  <si>
    <t xml:space="preserve">tu propter bonitatem tuam domine</t>
  </si>
  <si>
    <t xml:space="preserve">Luke 10:42</t>
  </si>
  <si>
    <t xml:space="preserve">"Porro unum est necessarium".</t>
  </si>
  <si>
    <t xml:space="preserve">porro unum est necessarium. Maria optimam partem elegit, quae non auferetur ab ea.</t>
  </si>
  <si>
    <t xml:space="preserve">porro unum est necessarium</t>
  </si>
  <si>
    <t xml:space="preserve">1 Corinthians 2:9</t>
  </si>
  <si>
    <t xml:space="preserve">uidit nec auris audiuit nec</t>
  </si>
  <si>
    <t xml:space="preserve">Sed sicut scriptum est: Quod oculus non vidit, nec auris audivit, nec in cor hominis ascendit, quae praeparavit Deus iis qui diligunt illum:</t>
  </si>
  <si>
    <t xml:space="preserve">Psalms 35:9</t>
  </si>
  <si>
    <t xml:space="preserve">"inebriabuntur ab ubertate domus"</t>
  </si>
  <si>
    <t xml:space="preserve">Inebriabuntur ab ubertate domus tuae, et torrente voluptatis tuae potabis eos:</t>
  </si>
  <si>
    <t xml:space="preserve">inebriabuntur ab ubertate domus</t>
  </si>
  <si>
    <t xml:space="preserve">1 Corinthians 15:44</t>
  </si>
  <si>
    <t xml:space="preserve">quotation-mark</t>
  </si>
  <si>
    <t xml:space="preserve">seminatur corpus animale, et surget corpus
spirituale</t>
  </si>
  <si>
    <t xml:space="preserve">seminatur corpus animale, surget corpus spiritale. Si est corpus animale, est et spiritale, sicut scriptum est:</t>
  </si>
  <si>
    <t xml:space="preserve">seminatur corpus animale</t>
  </si>
  <si>
    <t xml:space="preserve">"it is sown a natural body, [and] shall rise a spiritual body" — explicit</t>
  </si>
  <si>
    <t xml:space="preserve">Romans 8:17</t>
  </si>
  <si>
    <t xml:space="preserve">heredes quidem dei, coheredes autem Christi</t>
  </si>
  <si>
    <t xml:space="preserve">Si autem filii, et haeredes: haeredes, quidem Dei, cohaeredes autem Christi: si tamen compatimur ut et conglorificemur.</t>
  </si>
  <si>
    <t xml:space="preserve">Verbatim: "heredes quidem dei, coheredes autem Christi" — Anselm-quoted</t>
  </si>
  <si>
    <t xml:space="preserve">uidit, nec auris audiuit, nec in cor hominis ascendit".</t>
  </si>
  <si>
    <t xml:space="preserve">uidit nec auris audiuit nec in cor hominis ascendit</t>
  </si>
  <si>
    <t xml:space="preserve">Explicitly quoted ("nec oculus uidit...")</t>
  </si>
  <si>
    <t xml:space="preserve">John 16:24</t>
  </si>
  <si>
    <t xml:space="preserve">Petite et accipietis, ut gaudium uestrum sit plenum.</t>
  </si>
  <si>
    <t xml:space="preserve">Usque modo non petistis quidquam in nomine meo: petite, et accipietis, ut gaudium vestrum sit plenum.</t>
  </si>
  <si>
    <t xml:space="preserve">petite et accipietis ut gaudium uestrum sit plenum</t>
  </si>
  <si>
    <t xml:space="preserve">Romans 9:5</t>
  </si>
  <si>
    <t xml:space="preserve">deus "benedictus in saecula. Amen".</t>
  </si>
  <si>
    <t xml:space="preserve">quorum patres, et ex quibus est Christus secundum carnem, qui est super omnia Deus benedictus in saecula. Amen.</t>
  </si>
  <si>
    <t xml:space="preserve">deus benedictus in saecula amen</t>
  </si>
  <si>
    <t xml:space="preserve">Romans 1:25</t>
  </si>
  <si>
    <t xml:space="preserve">"benedictus in saecula. Amen".</t>
  </si>
  <si>
    <t xml:space="preserve">qui commutaverunt veritatem Dei in mendacium: et coluerunt, et servierunt creaturae potius quam Creatori, qui est benedictus in saecula. Amen.</t>
  </si>
  <si>
    <t xml:space="preserve">benedictus in saecula amen</t>
  </si>
  <si>
    <t xml:space="preserve">Responsio</t>
  </si>
  <si>
    <t xml:space="preserve">Romans 1:20</t>
  </si>
  <si>
    <t xml:space="preserve">"a creatura mundi per ea, quae facta sunt, intellecta</t>
  </si>
  <si>
    <t xml:space="preserve">Invisibilia enim ipsius, a creatura mundi, per ea quae facta sunt, intellecta, conspiciuntur: sempiterna quoque ejus virtus, et divinitas: ita ut sint…</t>
  </si>
  <si>
    <t xml:space="preserve">a creatura mundi per ea quae facta sunt intellecta</t>
  </si>
  <si>
    <t xml:space="preserve">Anselm marks this as an explicit quotation</t>
  </si>
  <si>
    <t xml:space="preserve">B</t>
  </si>
  <si>
    <t xml:space="preserve">medium</t>
  </si>
  <si>
    <t xml:space="preserve">Ephesians 4:6</t>
  </si>
  <si>
    <t xml:space="preserve">et per omnia et in omnibus.</t>
  </si>
  <si>
    <t xml:space="preserve">Unus Deus et Pater omnium, qui est super omnes, et per omnia, et in omnibus nobis.</t>
  </si>
  <si>
    <t xml:space="preserve">et per omnia et in omnibus</t>
  </si>
  <si>
    <t xml:space="preserve">John 5:26</t>
  </si>
  <si>
    <t xml:space="preserve">Sicut enim pater habet</t>
  </si>
  <si>
    <t xml:space="preserve">Sicut enim Pater habet vitam in semetipso, sic dedit et Filio habere vitam in semetipso:</t>
  </si>
  <si>
    <t xml:space="preserve">sicut enim pater habet</t>
  </si>
  <si>
    <t xml:space="preserve">"As the Father has [life in himself]"</t>
  </si>
  <si>
    <t xml:space="preserve">in quo speculetur ut ita dicam imaginem eius, quam "facie ad faciem" uidere nequit.</t>
  </si>
  <si>
    <t xml:space="preserve">"facie ad faciem" quoted; correct source for §67 mirror image</t>
  </si>
  <si>
    <t xml:space="preserve">Galatians 5:6</t>
  </si>
  <si>
    <t xml:space="preserve">fides
quae per dilectionem operatur</t>
  </si>
  <si>
    <t xml:space="preserve">Nam in Christo Jesu neque circumcisio aliquid valet, neque praeputium: sed fides, quae per caritatem operatur.</t>
  </si>
  <si>
    <t xml:space="preserve">fides quae per</t>
  </si>
  <si>
    <t xml:space="preserve">"faith which works through love"</t>
  </si>
  <si>
    <t xml:space="preserve">Psalms 87:15</t>
  </si>
  <si>
    <t xml:space="preserve">auertis faciem tuam" a</t>
  </si>
  <si>
    <t xml:space="preserve">Ut quid, Domine, repellis orationem meam; avertis faciem tuam a me?</t>
  </si>
  <si>
    <t xml:space="preserve">auertis faciem tuam a</t>
  </si>
  <si>
    <t xml:space="preserve">Psalms 37:5</t>
  </si>
  <si>
    <t xml:space="preserve">"et sicut onus graue"</t>
  </si>
  <si>
    <t xml:space="preserve">quoniam iniquitates meae supergressae sunt caput meum, et sicut onus grave gravatae sunt super me.</t>
  </si>
  <si>
    <t xml:space="preserve">et sicut onus graue</t>
  </si>
  <si>
    <t xml:space="preserve">Psalms 37:9</t>
  </si>
  <si>
    <t xml:space="preserve">"a gemitu cordis mei".</t>
  </si>
  <si>
    <t xml:space="preserve">Afflictus sum, et humiliatus sum nimis; rugiebam a gemitu cordis mei.</t>
  </si>
  <si>
    <t xml:space="preserve">a gemitu cordis mei</t>
  </si>
  <si>
    <t xml:space="preserve">Matthew 6:6</t>
  </si>
  <si>
    <t xml:space="preserve">Intra in cubiculum</t>
  </si>
  <si>
    <t xml:space="preserve">Tu autem cum oraveris, intra in cubiculum tuum, et clauso ostio, ora Patrem tuum in abscondito: et Pater tuus, qui videt in abscondito, reddet tibi.</t>
  </si>
  <si>
    <t xml:space="preserve">intra in cubiculum</t>
  </si>
  <si>
    <t xml:space="preserve">"enter into the chamber [of your mind]" — opening of the Proslogion</t>
  </si>
  <si>
    <t xml:space="preserve">Job 3:24</t>
  </si>
  <si>
    <t xml:space="preserve">antequam
comedam suspiro</t>
  </si>
  <si>
    <t xml:space="preserve">Antequam comedam, suspiro; et tamquam inundantes aquae, sic rugitus meus:</t>
  </si>
  <si>
    <t xml:space="preserve">antequam comedam suspiro</t>
  </si>
  <si>
    <t xml:space="preserve">"before I eat I sigh" — lament voice</t>
  </si>
  <si>
    <t xml:space="preserve">Psalms 77:25</t>
  </si>
  <si>
    <t xml:space="preserve">homo panem angelorum</t>
  </si>
  <si>
    <t xml:space="preserve">Panem angelorum manducavit homo; cibaria misit eis in abundantia.</t>
  </si>
  <si>
    <t xml:space="preserve">panem angelorum</t>
  </si>
  <si>
    <t xml:space="preserve">"man ate the bread of angels"</t>
  </si>
  <si>
    <t xml:space="preserve">Psalms 118:41</t>
  </si>
  <si>
    <t xml:space="preserve">ueniat super me misericordia</t>
  </si>
  <si>
    <t xml:space="preserve">Et veniat super me misericordia tua, Domine; salutare tuum secundum eloquium tuum.</t>
  </si>
  <si>
    <t xml:space="preserve">Tobias 3:2</t>
  </si>
  <si>
    <t xml:space="preserve">misericordia et ueritas", et</t>
  </si>
  <si>
    <t xml:space="preserve">dicens: [Justus es, Domine, et omnia judicia tua justa sunt, et omnes viae tuae, misericordia, et veritas, et judicium.</t>
  </si>
  <si>
    <t xml:space="preserve">misericordia et ueritas et</t>
  </si>
  <si>
    <t xml:space="preserve">Psalms 50:7</t>
  </si>
  <si>
    <t xml:space="preserve">me mater mea</t>
  </si>
  <si>
    <t xml:space="preserve">Ecce enim in iniquitatibus conceptus sum, et in peccatis concepit me mater mea.</t>
  </si>
  <si>
    <t xml:space="preserve">"in iniquity was I conceived" (Ps 50/51)</t>
  </si>
  <si>
    <t xml:space="preserve">Psalms 26:8</t>
  </si>
  <si>
    <t xml:space="preserve">Quaesiui uultum tuum, uultum tuum, domine, requiem; ne auertas faciem tuam a me</t>
  </si>
  <si>
    <t xml:space="preserve">Tibi dixit cor meum: Exquisivit te facies mea; faciem tuam, Domine, requiram.</t>
  </si>
  <si>
    <t xml:space="preserve">Verbatim "uultum tuum, domine, requiram" — Vulgate Ps 26:8 (mis-cited as 27:8)</t>
  </si>
  <si>
    <t xml:space="preserve">Psalms 34:23</t>
  </si>
  <si>
    <t xml:space="preserve">Deus meus et dominus meus,</t>
  </si>
  <si>
    <t xml:space="preserve">Exsurge et intende judicio meo, Deus meus; et Dominus meus, in causam meam.</t>
  </si>
  <si>
    <t xml:space="preserve">deus meus et dominus meus</t>
  </si>
  <si>
    <t xml:space="preserve">Generic vocative "Deus meus et Dominus meus" (cf. John 20:28); kept as probable</t>
  </si>
  <si>
    <t xml:space="preserve">1 John 1:4</t>
  </si>
  <si>
    <t xml:space="preserve">gaudium uestrum sit plenum.</t>
  </si>
  <si>
    <t xml:space="preserve">Et haec scribimus vobis ut gaudeatis, et gaudium vestrum sit plenum.</t>
  </si>
  <si>
    <t xml:space="preserve">gaudium uestrum sit plenum</t>
  </si>
  <si>
    <t xml:space="preserve">Matthew 25:21</t>
  </si>
  <si>
    <t xml:space="preserve">in gaudium domini</t>
  </si>
  <si>
    <t xml:space="preserve">Ait illi dominus ejus: Euge serve bone, et fidelis: quia super pauca fuisti fidelis, super multa te constituam; intra in gaudium domini tui.</t>
  </si>
  <si>
    <t xml:space="preserve">"enter into the joy of your Lord"</t>
  </si>
  <si>
    <t xml:space="preserve">C</t>
  </si>
  <si>
    <t xml:space="preserve">low</t>
  </si>
  <si>
    <t xml:space="preserve">2 Macabees 7:28</t>
  </si>
  <si>
    <t xml:space="preserve">short-echo</t>
  </si>
  <si>
    <t xml:space="preserve">de nihilo fecit</t>
  </si>
  <si>
    <t xml:space="preserve">Peto, nate, ut aspicias ad caelum et terram, et ad omnia quae in eis sunt, et intelligas quia ex nihilo fecit illa Deus, et hominum genus:</t>
  </si>
  <si>
    <t xml:space="preserve">creation ex nihilo — the locus classicus ("God made them from nothing")</t>
  </si>
  <si>
    <t xml:space="preserve">John 15:26</t>
  </si>
  <si>
    <t xml:space="preserve">a patre procedit</t>
  </si>
  <si>
    <t xml:space="preserve">Cum autem venerit Paraclitus, quem ego mittam vobis a Patre, Spiritum veritatis, qui a Patre procedit, ille testimonium perhibebit de me;</t>
  </si>
  <si>
    <t xml:space="preserve">procession of the Spirit "from the Father"</t>
  </si>
  <si>
    <t xml:space="preserve">Psalms 138:7</t>
  </si>
  <si>
    <t xml:space="preserve">a
facie tua</t>
  </si>
  <si>
    <t xml:space="preserve">Quo ibo a spiritu tuo? et quo a facie tua fugiam?</t>
  </si>
  <si>
    <t xml:space="preserve">a facie tua</t>
  </si>
  <si>
    <t xml:space="preserve">"from your face whither shall I flee" — omnipresence (Ps 138/139)</t>
  </si>
  <si>
    <t xml:space="preserve">Psalms 114:3</t>
  </si>
  <si>
    <t xml:space="preserve">tribulationem et dolorem inuent</t>
  </si>
  <si>
    <t xml:space="preserve">Circumdederunt me dolores mortis; et pericula inferni invenerunt me. Tribulationem et dolorem inveni,</t>
  </si>
  <si>
    <t xml:space="preserve">tribulationem et dolorem</t>
  </si>
  <si>
    <t xml:space="preserve">"I found trouble and sorrow"</t>
  </si>
  <si>
    <t xml:space="preserve">Romans 5:12</t>
  </si>
  <si>
    <t xml:space="preserve">in quo omnes</t>
  </si>
  <si>
    <t xml:space="preserve">Propterea sicut per unum hominem peccatum in hunc mundum intravit, et per peccatum mors, et ita in omnes homines mors pertransiit, in quo omnes peccav…</t>
  </si>
  <si>
    <t xml:space="preserve">"in whom all have sinned" — original sin</t>
  </si>
  <si>
    <t xml:space="preserve">Galatians 1:5</t>
  </si>
  <si>
    <t xml:space="preserve">saecula saeculorum</t>
  </si>
  <si>
    <t xml:space="preserve">cui est gloria in saecula saeculorum. Amen.</t>
  </si>
  <si>
    <t xml:space="preserve">"for ever and ever" — doxological formula</t>
  </si>
  <si>
    <t xml:space="preserve">Psalms 36:39</t>
  </si>
  <si>
    <t xml:space="preserve">salus iustorum a domino</t>
  </si>
  <si>
    <t xml:space="preserve">Salus autem justorum a Domino; et protector eorum in tempore tribulationis.</t>
  </si>
  <si>
    <t xml:space="preserve">iustorum a domino</t>
  </si>
  <si>
    <t xml:space="preserve">"the salvation of the just is from the Lord"</t>
  </si>
  <si>
    <t xml:space="preserve">Psalms 16:15</t>
  </si>
  <si>
    <t xml:space="preserve">cum
apparuerit gloria</t>
  </si>
  <si>
    <t xml:space="preserve">Ego autem in justitia apparebo conspectui tuo; satiabor cum apparuerit gloria tua.]</t>
  </si>
  <si>
    <t xml:space="preserve">cum apparuerit gloria</t>
  </si>
  <si>
    <t xml:space="preserve">"when your glory appears"</t>
  </si>
  <si>
    <t xml:space="preserve">Matthew 13:43</t>
  </si>
  <si>
    <t xml:space="preserve">fulgebunt iusti sicut sol</t>
  </si>
  <si>
    <t xml:space="preserve">Tunc justi fulgebunt sicut sol in regno Patris eorum. Qui habet aures audiendi, audiat.</t>
  </si>
  <si>
    <t xml:space="preserve">"the just shall shine as the sun" (explicit quote; word order differs from Vulgate)</t>
  </si>
  <si>
    <t xml:space="preserve">John 1:12</t>
  </si>
  <si>
    <t xml:space="preserve">filii dei</t>
  </si>
  <si>
    <t xml:space="preserve">Quotquot autem receperunt eum, dedit eis potestatem filios Dei fieri, his qui credunt in nomine ejus:</t>
  </si>
  <si>
    <t xml:space="preserve">"filii Dei" quoted — the blessed become sons of God</t>
  </si>
  <si>
    <t xml:space="preserve">Conceptual parallel</t>
  </si>
  <si>
    <t xml:space="preserve">D</t>
  </si>
  <si>
    <t xml:space="preserve">John 1:3</t>
  </si>
  <si>
    <t xml:space="preserve">Omnia per ipsum facta sunt: et sine ipso factum est nihil, quod factum est.</t>
  </si>
  <si>
    <t xml:space="preserve">The idea that everything that exists is through ‘that one’ reflects John 1:3’s claim that “by Him all things were made,” extending the Johannine Logos‑creation motif.</t>
  </si>
  <si>
    <t xml:space="preserve">Genesis 1:1</t>
  </si>
  <si>
    <t xml:space="preserve">In principio creavit Deus caelum et terram.</t>
  </si>
  <si>
    <t xml:space="preserve">Anselm’s discussion of something existing “ex nihilo” mirrors the biblical doctrine of creation out of nothing found in Genesis 1:1 (“In principio Deus creavit caelum et terram”).</t>
  </si>
  <si>
    <t xml:space="preserve">Anselm re‑states John 1:3 (Vulgate: “sine ipso nihil factum est”) in his own words, asserting that nothing comes into being from nothing.</t>
  </si>
  <si>
    <t xml:space="preserve">Anselm’s phrasing mirrors John 1:3’s wording “per quod omnia facta sunt, et sine ipso factum non est nihil,” directly linking the creative act to a rational cause.</t>
  </si>
  <si>
    <t xml:space="preserve">Genesis 1:3</t>
  </si>
  <si>
    <t xml:space="preserve">Dixitque Deus: Fiat lux. Et facta est lux.</t>
  </si>
  <si>
    <t xml:space="preserve">Anselm’s formulation that “He says what He will do” mirrors the creation formula in Genesis 1:3 where God says “Let there be…”, indicating that divine speech precedes the act of creation.</t>
  </si>
  <si>
    <t xml:space="preserve">John 1:1</t>
  </si>
  <si>
    <t xml:space="preserve">In principio erat Verbum, et Verbum erat apud Deum, et Deus erat Verbum.</t>
  </si>
  <si>
    <t xml:space="preserve">The passage echoes John 1:1‑3 (“In the beginning was the Word… all things were made through Him”) by asserting that a “word‑like” locution existed before things and that things are known through it after they are made.</t>
  </si>
  <si>
    <t xml:space="preserve">Anselm’s description of the whole creation being brought into being by the “intima locutio” (the intimate word) mirrors John 1:3 – “per ipsum facta sunt omnia, et sine ipso factum est nihil quod factum est.”</t>
  </si>
  <si>
    <t xml:space="preserve">Anselm’s description of God creating through “his intimate speech, either word by word or by one word all at once” mirrors John 1:3 – “per ipsum facta sunt omnia” – the doctrine that all things were made through the Word.</t>
  </si>
  <si>
    <t xml:space="preserve">Hebrews 1:3</t>
  </si>
  <si>
    <t xml:space="preserve">qui cum sit splendor gloriae, et figura substantiae ejus, portansque omnia verbo virtutis suae, purgationem peccatorum faciens, sedet ad dexteram maje…</t>
  </si>
  <si>
    <t xml:space="preserve">Anselm’s claim that all created things endure by the same sustaining being echoes Hebrews 1:3, which describes God as the one who “sustains all things by his powerful word.”</t>
  </si>
  <si>
    <t xml:space="preserve">The statement that nothing was made except through a present creator mirrors John 1:3 (and Colossians 1:16), which affirms that “all things were made by Him, and without Him was not anything made that was made.”</t>
  </si>
  <si>
    <t xml:space="preserve">Anselm’s formulation mirrors John 1:3 – “Omnia per ipsum facta sunt, et sine ipso factum est nihil quod factum est.” Both express that everything that exists does so through the one principle.</t>
  </si>
  <si>
    <t xml:space="preserve">Psalms 89:2</t>
  </si>
  <si>
    <t xml:space="preserve">Priusquam montes fierent, aut formaretur terra et orbis, a saeculo et usque in saeculum tu es, Deus.</t>
  </si>
  <si>
    <t xml:space="preserve">The description of God as “without beginning and without end” parallels Psalm 90:2, which declares God’s eternity “aeternus … a saeculo et usque in saeculum”.</t>
  </si>
  <si>
    <t xml:space="preserve">Revelation 1:8</t>
  </si>
  <si>
    <t xml:space="preserve">Ego sum alpha et omega, principium et finis, dicit Dominus Deus: qui est, et qui erat, et qui venturus est, omnipotens.</t>
  </si>
  <si>
    <t xml:space="preserve">The phrase “it neither began nor will cease to be” reflects Revelation 1:8, where Christ declares, “I am the Alpha and the Omega, the beginning and the end,” affirming eternal existence without beginning or end.</t>
  </si>
  <si>
    <t xml:space="preserve">Acts 17:28</t>
  </si>
  <si>
    <t xml:space="preserve">In ipso enim vivimus, et movemur, et sumus: sicut et quidam vestrorum poetarum dixerunt: Ipsius enim et genus sumus.</t>
  </si>
  <si>
    <t xml:space="preserve">Anselm’s assertion that nothing good or anything at all exists apart from the supreme nature parallels Acts 17:28, “In Him we live and move and have our being,” which teaches that all existence depends on God.</t>
  </si>
  <si>
    <t xml:space="preserve">1 Timothy 1:17</t>
  </si>
  <si>
    <t xml:space="preserve">Regi autem saeculorum immortali, invisibili, soli Deo honor et gloria in saecula saeculorum. Amen.</t>
  </si>
  <si>
    <t xml:space="preserve">Anselm’s phrase mirrors 1 Tim 1,17 Vulgate “qui non habet initium, nec finem”, expressing God’s eternity as without beginning or end.</t>
  </si>
  <si>
    <t xml:space="preserve">Malachi 3:6</t>
  </si>
  <si>
    <t xml:space="preserve">Ego enim Dominus, et non mutor: et vos filii Jacob, non estis consumpti.</t>
  </si>
  <si>
    <t xml:space="preserve">Anselm’s claim that the highest nature is immutable echoes Malachi 3:6 “Ego Dominus, non mutabor” (“I the LORD do not change”), a biblical affirmation of God’s unchangeability.</t>
  </si>
  <si>
    <t xml:space="preserve">Hebrews 13:8</t>
  </si>
  <si>
    <t xml:space="preserve">Jesus Christus heri, et hodie: ipse et in saecula.</t>
  </si>
  <si>
    <t xml:space="preserve">Anselm’s claim that the spirit “is not that which at some time was or will be” echoes Hebrews 13:8 (“Jesus Christ is the same yesterday and today and forever”), a biblical affirmation of divine immutability.</t>
  </si>
  <si>
    <t xml:space="preserve">Exodus 3:14</t>
  </si>
  <si>
    <t xml:space="preserve">Dixit Deus ad Moysen: Ego sum qui sum. Ait: Sic dices filiis Israel: Qui est, misit me ad vos.</t>
  </si>
  <si>
    <t xml:space="preserve">The wording “was or will be, but simply is” parallels the divine self‑identification in Exodus 3:14 (“I am who I am”), stressing a simple, self‑existent being.</t>
  </si>
  <si>
    <t xml:space="preserve">Anselm re‑words the Vulgate formula “Omnia per ipsum facta sunt, et sine ipso factum est nihil quod factum est,” expressing that nothing is done apart from the supreme spirit itself.</t>
  </si>
  <si>
    <t xml:space="preserve">Deuteronomy 6:4</t>
  </si>
  <si>
    <t xml:space="preserve">Audi, Israel: Dominus Deus noster, Dominus unus est.</t>
  </si>
  <si>
    <t xml:space="preserve">The claim that the supreme spirit is “one only” echoes the Shema’s declaration “Dominus Deus noster, Dominus unus est” (the LORD our God is one).</t>
  </si>
  <si>
    <t xml:space="preserve">Anselm re‑states the Johannine claim that the Logos (the Word) is the one through which all things were made (John 1:1‑3).</t>
  </si>
  <si>
    <t xml:space="preserve">Anselm’s phrase mirrors John 1:3 (Vulgate: “Omnia per ipsum facta sunt, et sine ipso factum est nihil quod factum est”), re‑phrasing the biblical claim that all things were made through the Word.</t>
  </si>
  <si>
    <t xml:space="preserve">Anselm’s claim that the eternal self‑statement makes the Word itself eternal mirrors John 1:1 – “In principio erat Verbum… et Verbum erat apud Deum”. The passage uses the same concept of the Word’s co‑eternity with God.</t>
  </si>
  <si>
    <t xml:space="preserve">Anselm reformulates John 1:1‑3 (In principio erat Verbum… omnia per ipsum facta sunt) by speaking of the "verbum" of the Creator that "dicit omnia quae fecit".</t>
  </si>
  <si>
    <t xml:space="preserve">Genesis 1:26</t>
  </si>
  <si>
    <t xml:space="preserve">et ait: Faciamus hominem ad imaginem et similitudinem nostram: et praesit piscibus maris, et volatilibus caeli, et bestiis, universaeque terrae, omniq…</t>
  </si>
  <si>
    <t xml:space="preserve">Anselm’s discussion of the mind forming an image of a person mirrors Genesis 1:26‑27 where humanity is created "ad imaginem et similitudinem" of God.</t>
  </si>
  <si>
    <t xml:space="preserve">John 1:14</t>
  </si>
  <si>
    <t xml:space="preserve">Et Verbum caro factum est, et habitavit in nobis: et vidimus gloriam ejus, gloriam quasi unigeniti a Patre plenum gratiae et veritatis.</t>
  </si>
  <si>
    <t xml:space="preserve">Anselm’s treatment of the "verbum" as a substance that is not merely a likeness but the very essence reflects John 1:14’s claim that "Verbum caro factum est" – the Word became flesh, sharing the same substance as God.</t>
  </si>
  <si>
    <t xml:space="preserve">Anselm’s wording mirrors John 1:1‑3 where the Logos (the Word) is said to be with God, to be God, and that all things were made through Him.</t>
  </si>
  <si>
    <t xml:space="preserve">Anselm’s description of the Word (Verbum) as consubstantial with the divine and the claim that all things that exist in the divine are likewise in the Word mirrors John 1:1‑3 ("In principio erat Verbum… Omnia per ipsum facta sunt…").</t>
  </si>
  <si>
    <t xml:space="preserve">Anselm’s formula that created things are more truly in the “Word” (verbo) than in themselves echoes John 1:1‑2 (“In principio erat Verbum… et Verbum erat apud Deum”). The passage re‑states the doctrine that the divine intellect (the Word) is the true reality of all created things.</t>
  </si>
  <si>
    <t xml:space="preserve">Anselm re‑words John 1:3 (Vulgate: “per eum omnia facta sunt”) to assert that the supreme spirit created all things through the Word.</t>
  </si>
  <si>
    <t xml:space="preserve">Colossians 1:16</t>
  </si>
  <si>
    <t xml:space="preserve">quoniam in ipso condita sunt universa in caelis, et in terra, visibilia, et invisibilia, sive throni, sive dominationes, sive principatus, sive potest…</t>
  </si>
  <si>
    <t xml:space="preserve">Paraphrases Colossians 1:16 (Vulgate: “per ipsum omnia facta sunt”) by stating that the Word alone made everything out of nothing.</t>
  </si>
  <si>
    <t xml:space="preserve">The formulation re‑works John 1:1’s identification of the Word with God, denying that the Word can be a separate entity apart from God.</t>
  </si>
  <si>
    <t xml:space="preserve">Anselm’s phrase echoes John 1:1 where the Logos (Word) is identified as the divine principle, here rendered as “the word of the supreme spirit.”</t>
  </si>
  <si>
    <t xml:space="preserve">The wording parallels John 1:3 “per ipsum facta sunt omnia” – all things were made by the Creator through the Creator, expressed by Anselm as “creator from creator, the highest from the highest.”</t>
  </si>
  <si>
    <t xml:space="preserve">Anselm’s description of the "verbum summi spiritus" as existing wholly from the essence of the supreme spirit mirrors John 1:1‑3, where the Word is identified with God’s very being and all things are made through Him.</t>
  </si>
  <si>
    <t xml:space="preserve">The passage’s emphasis on the offspring being “simile quasi proles parenti” echoes Genesis 1:26‑27, where humanity is created “in our image, after our likeness.”</t>
  </si>
  <si>
    <t xml:space="preserve">Echoes the Trinitarian doctrine that the Father (here expressed as the "summus spiritus") begets the Son, the "Verbum" (Word), as articulated in John 1:1‑3 ("In principio erat Verbum… et Verbum erat apud Deum…").</t>
  </si>
  <si>
    <t xml:space="preserve">John 10:30</t>
  </si>
  <si>
    <t xml:space="preserve">Ego et Pater unum sumus.</t>
  </si>
  <si>
    <t xml:space="preserve">Anselm’s claim that the Father and the Son are not two distinct persons but one mirrors John 10:30 “Ego et Pater unum sumus” (I and the Father are one).</t>
  </si>
  <si>
    <t xml:space="preserve">1 Corinthians 1:24</t>
  </si>
  <si>
    <t xml:space="preserve">ipsis autem vocatis Judaeis, atque Graecis Christum Dei virtutem, et Dei sapientia:</t>
  </si>
  <si>
    <t xml:space="preserve">Anselm’s list of “virtus (power) and sapientia (wisdom) … ueritas (truth) and iustitia (justice)” mirrors Paul’s description of the Son as “the power of God and the wisdom of God” (1 Cor 1:24).</t>
  </si>
  <si>
    <t xml:space="preserve">The claim that the Son is the very essence of the Father echoes Jesus’ statement “I and the Father are one” (John 10:30).</t>
  </si>
  <si>
    <t xml:space="preserve">Anselm’s formula mirrors John 1:1‑14 where the Son is identified as the true “Verbum” (Word) of God.</t>
  </si>
  <si>
    <t xml:space="preserve">Anselm’s description of the Father’s substance as intelligence, knowledge, wisdom and truth mirrors the prologue of John (1:1‑3) where the Logos (the Word) is presented as the source of all being and truth.</t>
  </si>
  <si>
    <t xml:space="preserve">John 14:6</t>
  </si>
  <si>
    <t xml:space="preserve">Dicit ei Jesus: Ego sum via, et veritas, et vita. Nemo venit ad Patrem, nisi per me.</t>
  </si>
  <si>
    <t xml:space="preserve">Anselm’s emphasis on truth (ueritas) as an essential attribute of both Father and Son resonates with Jesus’ self‑identification as “the truth” in John 14:6.</t>
  </si>
  <si>
    <t xml:space="preserve">Anselm’s claim that the Word (verbum) is generated from memory echoes John 1:1‑3, where the Logos is presented as eternally existing with the Father and becoming flesh; the passage treats the Son as the intelligible offspring of the Father’s memory.</t>
  </si>
  <si>
    <t xml:space="preserve">1 John 4:8</t>
  </si>
  <si>
    <t xml:space="preserve">Qui non diligit, non novit Deum: quoniam Deus caritas est.</t>
  </si>
  <si>
    <t xml:space="preserve">The notion that the highest spirit loves itself mirrors the biblical declaration “Deus caritas est” (1 John 4:8), which identifies God Himself as the source and embodiment of love.</t>
  </si>
  <si>
    <t xml:space="preserve">Anselm’s claim that nothing is loved apart from the memory and intellect of the beloved echoes the biblical teaching that God is love (Deus caritas est) and that love is inseparable from the knowledge of the beloved.</t>
  </si>
  <si>
    <t xml:space="preserve">Anselm’s statement that the Father and the Son are each the supreme spirit and together one spirit echoes John 10:30 where Jesus says “ego et Pater unum sumus” (I and the Father are one).</t>
  </si>
  <si>
    <t xml:space="preserve">Matthew 28:19</t>
  </si>
  <si>
    <t xml:space="preserve">euntes ergo docete omnes gentes: baptizantes eos in nomine Patris, et Filii, et Spiritus Sancti:</t>
  </si>
  <si>
    <t xml:space="preserve">The Trinitarian formula of the Nicene Creed echoes Matthew 28:19, where Jesus commands baptism "in the name of the Father and of the Son and of the Holy Spirit".</t>
  </si>
  <si>
    <t xml:space="preserve">The statement that the Father and the Son love each other reflects 1 John 4:8, "Deus caritas est" (God is love), and the broader Johannine theme that love is the essential nature of God.</t>
  </si>
  <si>
    <t xml:space="preserve">Anselm’s claim that the Father and the Son are “not two but one spirit” echoes John 10:30 where Jesus says, “Ego et Pater unum sumus” (I and the Father are one). The language of unity is the same theological point, though Anselm does not quote the verse verbatim.</t>
  </si>
  <si>
    <t xml:space="preserve">Anselm’s phrase “parentis imaginem” echoes Genesis 1:26 where God creates man “ad imaginem et similitudinem nostra”, i.e., in the image of the parent (God).</t>
  </si>
  <si>
    <t xml:space="preserve">Echoes John 1:1‑3 where the Logos (Verbum) is described as being with God, as God, and as uncreated (ingenitus). Anselm mirrors the language of “Verbum” and its divine origin.</t>
  </si>
  <si>
    <t xml:space="preserve">John 3:16</t>
  </si>
  <si>
    <t xml:space="preserve">Sic enim Deus dilexit mundum, ut Filium suum unigenitum daret: ut omnis qui credit in eum, non pereat, sed habeat vitam aeternam.</t>
  </si>
  <si>
    <t xml:space="preserve">Paraphrases John 3:16’s reference to the “only begotten Son” (unigenitus filius), contrasting the begotten Word with love, which Anselm says is neither begotten nor unbegotten.</t>
  </si>
  <si>
    <t xml:space="preserve">Anselm likens the Son to the "Verbum" (Word) of John 1:1‑3, where the Word is described as being with God and being God, i.e. the sum of divine essence.</t>
  </si>
  <si>
    <t xml:space="preserve">Echoes the biblical affirmation "Deus caritas est" (God is love) found in 1 John 4:8, presenting love as the single, supreme essence shared by Father and Son.</t>
  </si>
  <si>
    <t xml:space="preserve">Anselm’s claim that the Son shares the Father’s substance, wisdom and virtue echoes John 1:1 (“In principio erat Verbum, et Verbum erat apud Deum, et Deus erat Verbum”), which presents the Son (the Logos) as identical in essence with God.</t>
  </si>
  <si>
    <t xml:space="preserve">Anselm’s statement that the Spirit belongs to the Father and the Son reflects John 15:26, where the Holy Spirit is sent by the Father and testifies concerning the Son.</t>
  </si>
  <si>
    <t xml:space="preserve">John 14:26</t>
  </si>
  <si>
    <t xml:space="preserve">Paraclitus autem Spiritus Sanctus, quem mittet Pater in nomine meo, ille vos docebit omnia, et suggeret vobis omnia quaecumque dixero vobis.</t>
  </si>
  <si>
    <t xml:space="preserve">John 14:26 says the Holy Spirit proceeds from the Father and will teach the disciples, reinforcing Anselm’s idea that the Spirit is essentially linked to both the Father and the Son.</t>
  </si>
  <si>
    <t xml:space="preserve">John 14:9</t>
  </si>
  <si>
    <t xml:space="preserve">Dicit ei Jesus: Tanto tempore vobiscum sum, et non cognovistis me? Philippe, qui videt me, videt et Patrem. Quomodo tu dicis: Ostende nobis Patrem?</t>
  </si>
  <si>
    <t xml:space="preserve">John 14:9‑10 records Jesus saying, “Whoever has seen me has seen the Father,” indicating that the Son perfectly reveals the Father’s essence, a notion Anselm mirrors in describing the Spirit as sharing the Father’s and Son’s essence, wisdom and virtue.</t>
  </si>
  <si>
    <t xml:space="preserve">Anselm’s tri‑adic formula mirrors the baptismal command “in the name of the Father and of the Son and of the Holy Spirit,” establishing the same three‑person unity of God.</t>
  </si>
  <si>
    <t xml:space="preserve">The claim that the Father is wholly present in the Son echoes Jesus’ statement, “Whoever has seen me has seen the Father,” expressing the full identity of the Father in the Son.</t>
  </si>
  <si>
    <t xml:space="preserve">Anselm’s assertion that the Son is in the Father reflects Jesus’ declaration, “I and the Father are one,” emphasizing mutual indwelling.</t>
  </si>
  <si>
    <t xml:space="preserve">The triadic formula of Father, Son and Holy Spirit mirrors the baptismal command “In nomine Patris et Filii et Spiritus Sancti” (Matt 28:19), expressing the same Trinitarian unity.</t>
  </si>
  <si>
    <t xml:space="preserve">The insistence that each person of the Trinity is “essentially one” reflects the Shema’s affirmation of the oneness of God: “Hear, O Israel: the LORD our God, the LORD is one” (Deut 6:4).</t>
  </si>
  <si>
    <t xml:space="preserve">Anselm’s formulation of a single essence containing one Father, one Son and one Spirit mirrors the Trinitarian baptismal formula “in the name of the Father, and of the Son, and of the Holy Spirit.”</t>
  </si>
  <si>
    <t xml:space="preserve">Anselm’s phrase echoes the Trinitarian baptismal formula of Matthew 28:19 – “in nomine Patris et Filii et Spiritus Sancti” – although he does not quote it verbatim.</t>
  </si>
  <si>
    <t xml:space="preserve">Anselm’s explicit mention of Father, Son and their Spirit echoes the Trinitarian baptismal formula of Matthew 28:19.</t>
  </si>
  <si>
    <t xml:space="preserve">The repeated use of “verbum” (Word) together with “imago” (image) and “filius” (Son) paraphrases John 1:1‑14, where the Word is identified with God, is the image of the Father, and becomes flesh.</t>
  </si>
  <si>
    <t xml:space="preserve">The insistence on the unity of the Father mirrors the Shema’s declaration of the oneness of God (Deut 6:4).</t>
  </si>
  <si>
    <t xml:space="preserve">Colossians 1:15</t>
  </si>
  <si>
    <t xml:space="preserve">qui est imago Dei invisibilis, primogenitus omnis creaturae:</t>
  </si>
  <si>
    <t xml:space="preserve">The description of the Son as the “image” (imago) of the Father and as the Word (verbum) follows Colossians 1:15, which calls Christ “the image of the invisible God.”</t>
  </si>
  <si>
    <t xml:space="preserve">Isaiah 55:8</t>
  </si>
  <si>
    <t xml:space="preserve">Non enim cogitationes meae cogitationes vestrae, neque viae vestrae viae meae, dicit Dominus.</t>
  </si>
  <si>
    <t xml:space="preserve">Anselm’s description of God as “incomprehensible, ineffable, above all things” echoes Isaiah 55:8‑9 where the Lord declares that His thoughts and ways are far beyond human understanding.</t>
  </si>
  <si>
    <t xml:space="preserve">The rhetorical question about who can narrate God’s generation reflects John 1:1‑3, where the Logos is described as “the Word was in the beginning… all things were made through Him,” raising the mystery of divine generation.</t>
  </si>
  <si>
    <t xml:space="preserve">Hebrews 11:1</t>
  </si>
  <si>
    <t xml:space="preserve">Est autem fides sperandarum substantia rerum, argumentum non apparentium.</t>
  </si>
  <si>
    <t xml:space="preserve">The statement that the certainty of these truths “does not shake” corresponds to Hebrews 11:1, defining faith as “the substance of things hoped for, the proof of things not seen.”</t>
  </si>
  <si>
    <t xml:space="preserve">Psalms 144:3</t>
  </si>
  <si>
    <t xml:space="preserve">Magnus Dominus, et laudabilis nimis, et magnitudinis ejus non est finis.</t>
  </si>
  <si>
    <t xml:space="preserve">Anselm’s description of God’s essence as “above and beyond every other nature” echoes Psalm 145:3 (Vulgate: “Magnus Dominus, et laudabilis nimis, et magnitudinem eius non potest investigare”), which portrays God’s greatness as incomprehensible to human reason.</t>
  </si>
  <si>
    <t xml:space="preserve">Anselm’s image of seeing a face in a mirror reflects 1 Cor 13:12 (Vulgate: “Nunc autem per speculum in tenebris videmus, sed facie ad faciem”), a biblical metaphor for the limited nature of human knowledge.</t>
  </si>
  <si>
    <t xml:space="preserve">Anselm’s claim that whatever exists among created things is more similar to the Creator echoes Genesis 1:26‑27, where humanity is said to be made in the image and likeness of God.</t>
  </si>
  <si>
    <t xml:space="preserve">The idea that every created essence, insofar as it exists, reflects the supreme essence parallels Romans 1:20, which teaches that God’s invisible qualities are clearly seen in what has been made.</t>
  </si>
  <si>
    <t xml:space="preserve">Deuteronomy 6:5</t>
  </si>
  <si>
    <t xml:space="preserve">Diliges Dominum Deum tuum ex toto corde tuo, et ex tota anima tua, et ex tota fortitudine tua.</t>
  </si>
  <si>
    <t xml:space="preserve">The passage’s claim that the rational creature must love the supreme good mirrors the biblical command to love God with all one’s heart, soul, and strength (Deut 6:5; cf. Mark 12:30).</t>
  </si>
  <si>
    <t xml:space="preserve">1 Corinthians 13:8</t>
  </si>
  <si>
    <t xml:space="preserve">Caritas numquam excidit: sive prophetiae evacuabuntur, sive linguae cessabunt, sive scientia destruetur.</t>
  </si>
  <si>
    <t xml:space="preserve">Paraphrases the famous line “caritas numquam peribit” (love never fails), i.e., love without end.</t>
  </si>
  <si>
    <t xml:space="preserve">Anselm echoes the Vulgate Shema (Deut 6:5) – “Diliges Dominum Deum tuum ex toto corde tuo, et ex tota anima tua, et ex omnibus cogitationibus tuis” – by substituting “mente” for “cogitationibus” and extending the command to the love of the highest good.</t>
  </si>
  <si>
    <t xml:space="preserve">Anselm’s formula mirrors the Trinitarian baptismal command “in nomine Patris et Filii et Spiritus Sancti,” substituting “in patrem et filium et eorum spiritum” for the Vulgate wording.</t>
  </si>
  <si>
    <t xml:space="preserve">The claim that the Father, Son, and Spirit are “una eademque summa essentia” echoes John 10:30’s declaration “Ego et Pater unum sumus,” extending the unity to the Holy Spirit.</t>
  </si>
  <si>
    <t xml:space="preserve">Hebrews 11:6</t>
  </si>
  <si>
    <t xml:space="preserve">Sine fide autem impossibile est placere Deo. Credere enim oportet accedentem ad Deum quia est, et inquirentibus se remunerator sit.</t>
  </si>
  <si>
    <t xml:space="preserve">The clause “nullus potest … credere” directly reflects Hebrews 11:6’s statement that “without faith it is impossible to please God.”</t>
  </si>
  <si>
    <t xml:space="preserve">James 2:17</t>
  </si>
  <si>
    <t xml:space="preserve">Sic et fides, si non habeat opera, mortua est in semetipsa.</t>
  </si>
  <si>
    <t xml:space="preserve">Anselm’s statement that faith is useless and “as if dead” without love mirrors the Vulgate James 2:17: “Sic et fides, si non habet opera, mortua est in semetipsis.” The structure and idea are the same, though Anselm replaces “works” with “love.”</t>
  </si>
  <si>
    <t xml:space="preserve">Anselm re‑states the baptismal formula of Matthew 28:19, where Christ commands baptism "in the name of the Father, and of the Son, and of the Holy Spirit".</t>
  </si>
  <si>
    <t xml:space="preserve">Anselm’s phrasing parallels John 1:3’s claim that without Him nothing was made that has been made, emphasizing God’s unique role as the source of all good.</t>
  </si>
  <si>
    <t xml:space="preserve">The clause mirrors Colossians 1:16 ("per quem omnia facta sunt, quae in caelis et in terra sunt, visibiles et invisibiles"), echoing the idea that everything exists through God’s supreme goodness and wisdom.</t>
  </si>
  <si>
    <t xml:space="preserve">Anselm’s description of God as “ineffably three and one” reflects the Trinitarian baptismal formula of Matthew 28:19, which names the Father, Son, and Holy Spirit as a single divine reality.</t>
  </si>
  <si>
    <t xml:space="preserve">Luke 1:37</t>
  </si>
  <si>
    <t xml:space="preserve">quia non erit impossibile apud Deum omne verbum.</t>
  </si>
  <si>
    <t xml:space="preserve">Anselm’s discussion of God’s ability to do all things and the impossibility of acting through impotence echoes Luke 1:37 – “Quia non est quod impossibile sit apud Deum” (“Nothing is impossible for God”).</t>
  </si>
  <si>
    <t xml:space="preserve">The description of God as the only one who is “incircumscribed and eternal” parallels Revelation 1:8 (and 22:13) where Christ declares, “I am the Alpha and the Omega… the beginning and the end,” emphasizing divine unboundedness and eternity.</t>
  </si>
  <si>
    <t xml:space="preserve">Combines two Johannine self‑descriptions: “Ego sum via, veritas, et vita” (Jn 14:6) and “Ego sum lux mundi” (Jn 8:12), creating a merged image of Christ as light and truth.</t>
  </si>
  <si>
    <t xml:space="preserve">John 8:12</t>
  </si>
  <si>
    <t xml:space="preserve">Iterum ergo locutus est eis Jesus, dicens: Ego sum lux mundi: qui sequitur me, non ambulat in tenebris, sed habebit lumen vitae.</t>
  </si>
  <si>
    <t xml:space="preserve">Alludes to John 8:12 “Ego sum lux mundi”, the biblical claim that Christ is the light of the world, here paired with “veritas”.</t>
  </si>
  <si>
    <t xml:space="preserve">John 1:5</t>
  </si>
  <si>
    <t xml:space="preserve">et lux in tenebris lucet, et tenebrae eam non comprehenderunt.</t>
  </si>
  <si>
    <t xml:space="preserve">Recalls John 1:5 “et lux in tenebris lucet”, the contrast of light and darkness that Anselm repeats in his meditation on divine illumination.</t>
  </si>
  <si>
    <t xml:space="preserve">Paraphrases John 1:3 “Omnia per ipsum facta sunt”, extending it with the notion of creation “ex nihilo”.</t>
  </si>
  <si>
    <t xml:space="preserve">Anselm’s claim that God is greater than can be thought echoes Isaiah 55:8‑9 (Vulgate: “Quoniam cogitationes meæ non sunt cogitationes vestræ, nec viae vestrae viae meæ, dicit Dominus”), which stresses that divine thoughts and ways surpass human understanding.</t>
  </si>
  <si>
    <t xml:space="preserve">1 Timothy 6:16</t>
  </si>
  <si>
    <t xml:space="preserve">qui solus habet immortalitatem, et lucem inhabitat inaccessibilem: quem nullus hominum vidit, sed nec videre potest: cui honor, et imperium sempiternu…</t>
  </si>
  <si>
    <t xml:space="preserve">Anselm’s phrase echoes 1 Tim 6:16 “qui solus habet inmortale spiritum in luce inaccesibili” – the biblical description of God dwelling in unapproachable light.</t>
  </si>
  <si>
    <t xml:space="preserve">1 John 1:5</t>
  </si>
  <si>
    <t xml:space="preserve">Et haec est annuntiatio, quam audivimus ab eo, et annuntiamus vobis: quoniam Deus lux est, et tenebrae in eo non sunt ullae.</t>
  </si>
  <si>
    <t xml:space="preserve">The image of God as light that dwells in an inaccessible light recalls 1 Jn 1:5 “Deus est lux et in tenebris non est ullum” – God is light and there is no darkness in Him.</t>
  </si>
  <si>
    <t xml:space="preserve">Romans 3:23</t>
  </si>
  <si>
    <t xml:space="preserve">omnes enim peccaverunt, et egent gloria Dei.</t>
  </si>
  <si>
    <t xml:space="preserve">The statement that "all have sinned" mirrors Romans 3:23 "Omnes peccaverunt".</t>
  </si>
  <si>
    <t xml:space="preserve">Anselm’s description of God’s eternal existence mirrors Psalm 90:2, which declares that God “is God from everlasting to everlasting,” emphasizing divine timelessness.</t>
  </si>
  <si>
    <t xml:space="preserve">Colossians 1:17</t>
  </si>
  <si>
    <t xml:space="preserve">et ipse est ante omnes, et omnia in ipso constant.</t>
  </si>
  <si>
    <t xml:space="preserve">Anselm’s assertion that “all things are in you” reflects Colossians 1:17, where Paul says that “by him all things were created, and in him all things hold together; without him nothing was made.”</t>
  </si>
  <si>
    <t xml:space="preserve">1 Timothy 6:15</t>
  </si>
  <si>
    <t xml:space="preserve">quem suis temporibus ostendet beatus et solus potens, Rex regum, et Dominus dominantium:</t>
  </si>
  <si>
    <t xml:space="preserve">Anselm repeats the biblical formula “saeculum saeculorum” (the age of ages) that appears in 1 Tim 6:15 – “qui vivit in saeculo saeculorum”.</t>
  </si>
  <si>
    <t xml:space="preserve">Anselm’s formula “es quod es, et tu es qui es” mirrors the Vulgate’s “Ego sum qui sum” (Exod. 3,14) used by God in the burning bush.</t>
  </si>
  <si>
    <t xml:space="preserve">Anselm calls God “vita” (life), echoing Christ’s self‑designation “ego sum via, veritas, et vita” (John 14,6).</t>
  </si>
  <si>
    <t xml:space="preserve">The attribute “lux” (light) recalls Jesus’ claim “ego sum lux mundi” (John 8,12).</t>
  </si>
  <si>
    <t xml:space="preserve">The claim that God is unchanging and only present mirrors Malachi 3,6 “Ego Dominus, non mutabor”.</t>
  </si>
  <si>
    <t xml:space="preserve">Anselm re‑states the prologue of John 1:1‑3, identifying the Father as the ultimate good and the Son as the Word (Verbum) of God.</t>
  </si>
  <si>
    <t xml:space="preserve">Anselm’s description of the Holy Spirit proceeding from both Father and Son mirrors John 15:26, where the Spirit is sent by the Father in the name of the Son.</t>
  </si>
  <si>
    <t xml:space="preserve">The formula ‘amor unum’ recalls 1 John 4:8, ‘Deus caritas est’, presenting divine love as a single, shared reality between Father and Son.</t>
  </si>
  <si>
    <t xml:space="preserve">Anselm’s identification of the single ‘singulus quisque’ with the whole Trinity echoes the Trinitarian baptismal formula in Matthew 28:19.</t>
  </si>
  <si>
    <t xml:space="preserve">Proverbs 8:30</t>
  </si>
  <si>
    <t xml:space="preserve">cum eo eram, cuncta componens. Et delectabar per singulos dies, ludens coram eo omni tempore,</t>
  </si>
  <si>
    <t xml:space="preserve">The description of wisdom that creates all things from nothing directly paraphrases Proverbs 8:30, where wisdom is present before creation and participates in God’s creative act.</t>
  </si>
  <si>
    <t xml:space="preserve">Matthew 7:7</t>
  </si>
  <si>
    <t xml:space="preserve">Petite, et dabitur vobis: quaerite, et invenietis: pulsate, et aperietur vobis.</t>
  </si>
  <si>
    <t xml:space="preserve">Echoes the promise of the Gospel of Matthew 7:7, where Jesus says “Petite, et dabitur vobis…”, here rendered as “Petite et accipietis”.</t>
  </si>
  <si>
    <t xml:space="preserve">Pro_insipiente</t>
  </si>
  <si>
    <t xml:space="preserve">Anselm’s claim that something can be thought not to exist in the same way that God can be thought not to exist echoes Psalm 14:1 (and its parallel Psalm 53:1) where the fool says, “There is no God.” The passage uses the same logical contrast between the possibility of conceiving non‑existence and th…</t>
  </si>
  <si>
    <t xml:space="preserve">The passage that the “true thing” is apprehended by the intellect, though not yet manifested, parallels Romans 1:20, which states that the invisible qualities of God are clearly seen and understood through the created world.</t>
  </si>
  <si>
    <t xml:space="preserve">Deuteronomy 4:35</t>
  </si>
  <si>
    <t xml:space="preserve">ut scires quoniam Dominus ipse est Deus, et non est alius praeter eum.</t>
  </si>
  <si>
    <t xml:space="preserve">Anselm’s claim that nothing can be said to exist except God echoes Deut 4,35 “Tu es Deus, et non est alius” (You are God, there is no other).</t>
  </si>
  <si>
    <t xml:space="preserve">Romans 11:33</t>
  </si>
  <si>
    <t xml:space="preserve">O altitudo divitiarum sapientiae, et scientiae Dei: quam incomprehensibilia sunt judicia ejus, et investigabiles viae ejus!</t>
  </si>
  <si>
    <t xml:space="preserve">Anselm’s meditation on a being “greater than all that can be thought” parallels Romans 11,33 which praises the “depths of the riches of the wisdom and knowledge of God,” a wisdom beyond human thought.</t>
  </si>
  <si>
    <t xml:space="preserve">Anselm’s use of the adjective *insipiens* to describe the foolish opponent echoes Psalm 14:1 (and its parallel Psalm 53:1) where the psalmist says, “Dixit insipiens in corde suo: non est Deus.” The passage alludes to the biblical motif of the foolish man who denies God.</t>
  </si>
  <si>
    <t xml:space="preserve">Anselm’s claim that nothing greater can be thought mirrors Psalm 145:3 – “Great is the LORD, and greatly to be praised; his greatness cannot be measured,” expressing the same theological idea of an incomparably great God.</t>
  </si>
  <si>
    <t xml:space="preserve">Echoes Psalm 145:3 (Vulgate) “Maiorem quam ipse non est”, i.e., nothing greater than God can be thought; Anselm’s phrase “quo maior nequit cogitari” mirrors this claim of an unsurpassable greatness.</t>
  </si>
  <si>
    <t xml:space="preserve">Anselm’s description of someone who “denies God, whose sense cannot be thought of at all” echoes Psalm 14:1 (and its parallel Psalm 53:1) where the fool says, “There is no God.” The passage parallels the biblical motif of the fool’s denial of God.</t>
  </si>
  <si>
    <t xml:space="preserve">Examined in context and EXCLUDED — kept for transparency</t>
  </si>
  <si>
    <t xml:space="preserve">Reason class</t>
  </si>
  <si>
    <t xml:space="preserve">Work §</t>
  </si>
  <si>
    <t xml:space="preserve">Why excluded / shared phrase</t>
  </si>
  <si>
    <t xml:space="preserve">contextual</t>
  </si>
  <si>
    <t xml:space="preserve">Monologion §47</t>
  </si>
  <si>
    <t xml:space="preserve">Exodus 35:31</t>
  </si>
  <si>
    <t xml:space="preserve">Generic wisdom/knowledge/understanding triad (Bezalel the craftsman); a theological commonplace, not a Bezalel allusion</t>
  </si>
  <si>
    <t xml:space="preserve">Proslogion §1</t>
  </si>
  <si>
    <t xml:space="preserve">Psalms 39:6</t>
  </si>
  <si>
    <t xml:space="preserve">Generic divine vocative "Domine Deus meus"; no specific tie to Ps 39</t>
  </si>
  <si>
    <t xml:space="preserve">Isaiah 25:1</t>
  </si>
  <si>
    <t xml:space="preserve">Generic divine vocative "Domine Deus meus es tu"; no specific tie to Isa 25</t>
  </si>
  <si>
    <t xml:space="preserve">Monologion §67</t>
  </si>
  <si>
    <t xml:space="preserve">Deuteronomy 5:4</t>
  </si>
  <si>
    <t xml:space="preserve">"facie ad faciem" is Paul’s mirror (1 Cor 13:12), not Sinai (Deut 5:4) — re-attributed</t>
  </si>
  <si>
    <t xml:space="preserve">Monologion §15</t>
  </si>
  <si>
    <t xml:space="preserve">Proverbs 3:14</t>
  </si>
  <si>
    <t xml:space="preserve">§15’s "melius esse" reasoning is philosophical, not an echo of Prov 3:14</t>
  </si>
  <si>
    <t xml:space="preserve">Monologion §21</t>
  </si>
  <si>
    <t xml:space="preserve">Weak/redundant with §20; §21 is about non-circumscription by place</t>
  </si>
  <si>
    <t xml:space="preserve">Monologion §33</t>
  </si>
  <si>
    <t xml:space="preserve">Confused attribution (Gen 1:3 is "fiat lux", not "vidit quod bonum"); §33 is about the Word</t>
  </si>
  <si>
    <t xml:space="preserve">Monologion §49</t>
  </si>
  <si>
    <t xml:space="preserve">1 John 4:7</t>
  </si>
  <si>
    <t xml:space="preserve">"love one another" (human love) — §49 is divine self-love; 1 John 4:8 already covers it</t>
  </si>
  <si>
    <t xml:space="preserve">Pro_insipiente §8</t>
  </si>
  <si>
    <t xml:space="preserve">2 Corinthians 2:15</t>
  </si>
  <si>
    <t xml:space="preserve">"good odour of Christ" is a strained fit to Gaunilo’s phrasing</t>
  </si>
  <si>
    <t xml:space="preserve">Proslogion §7</t>
  </si>
  <si>
    <t xml:space="preserve">Romans 8:31</t>
  </si>
  <si>
    <t xml:space="preserve">"if God is for us" concerns divine favour, not §7’s logic of omnipotence</t>
  </si>
  <si>
    <t xml:space="preserve">Proslogion §14</t>
  </si>
  <si>
    <t xml:space="preserve">Psalms 27:8</t>
  </si>
  <si>
    <t xml:space="preserve">Confused numbering/text; the "seek the Lord" idea is not Vulgate Ps 27:8</t>
  </si>
  <si>
    <t xml:space="preserve">coincidental idiom</t>
  </si>
  <si>
    <t xml:space="preserve">Monologion §42</t>
  </si>
  <si>
    <t xml:space="preserve">Sirach 1:1</t>
  </si>
  <si>
    <t xml:space="preserve">“habent differentiam”</t>
  </si>
  <si>
    <t xml:space="preserve">Psalms 34:17</t>
  </si>
  <si>
    <t xml:space="preserve">“quando respicies”</t>
  </si>
  <si>
    <t xml:space="preserve">Monologion §11</t>
  </si>
  <si>
    <t xml:space="preserve">Deuteronomy 27:26</t>
  </si>
  <si>
    <t xml:space="preserve">“opere perficit”</t>
  </si>
  <si>
    <t xml:space="preserve">Proslogion §13</t>
  </si>
  <si>
    <t xml:space="preserve">Psalms 4:10</t>
  </si>
  <si>
    <t xml:space="preserve">“domine singulariter”</t>
  </si>
  <si>
    <t xml:space="preserve">Pro_insipiente §4</t>
  </si>
  <si>
    <t xml:space="preserve">Leviticus 17:10</t>
  </si>
  <si>
    <t xml:space="preserve">“homo quilibet”</t>
  </si>
  <si>
    <t xml:space="preserve">Leviticus 17:3</t>
  </si>
  <si>
    <t xml:space="preserve">Monologion §1</t>
  </si>
  <si>
    <t xml:space="preserve">Isaiah 30:5</t>
  </si>
  <si>
    <t xml:space="preserve">“aliquam utilitatem”</t>
  </si>
  <si>
    <t xml:space="preserve">Monologion §6</t>
  </si>
  <si>
    <t xml:space="preserve">1 Samuel 22:22</t>
  </si>
  <si>
    <t xml:space="preserve">“procul dubio”</t>
  </si>
  <si>
    <t xml:space="preserve">Monologion §7</t>
  </si>
  <si>
    <t xml:space="preserve">Monologion §22</t>
  </si>
  <si>
    <t xml:space="preserve">Monologion §26</t>
  </si>
  <si>
    <t xml:space="preserve">Monologion §51</t>
  </si>
  <si>
    <t xml:space="preserve">Monologion §66</t>
  </si>
  <si>
    <t xml:space="preserve">Monologion §72</t>
  </si>
  <si>
    <t xml:space="preserve">Monologion §74</t>
  </si>
  <si>
    <t xml:space="preserve">Proslogion §2</t>
  </si>
  <si>
    <t xml:space="preserve">Proslogion §25</t>
  </si>
  <si>
    <t xml:space="preserve">Wisdom 3:7</t>
  </si>
  <si>
    <t xml:space="preserve">“fulgebunt iusti”</t>
  </si>
  <si>
    <t xml:space="preserve">Responsio §1</t>
  </si>
  <si>
    <t xml:space="preserve">Responsio §9</t>
  </si>
  <si>
    <t xml:space="preserve">Numbers 32:23</t>
  </si>
  <si>
    <t xml:space="preserve">“nulli dubium”</t>
  </si>
  <si>
    <t xml:space="preserve">Judges 20:46</t>
  </si>
  <si>
    <t xml:space="preserve">“diuersis locis”</t>
  </si>
  <si>
    <t xml:space="preserve">Monologion §36</t>
  </si>
  <si>
    <t xml:space="preserve">Monologion §69</t>
  </si>
  <si>
    <t xml:space="preserve">Numbers 19:13</t>
  </si>
  <si>
    <t xml:space="preserve">“humanae animae”</t>
  </si>
  <si>
    <t xml:space="preserve">Monologion §76</t>
  </si>
  <si>
    <t xml:space="preserve">Jeremiah 14:19</t>
  </si>
  <si>
    <t xml:space="preserve">“ecce turbatio”</t>
  </si>
  <si>
    <t xml:space="preserve">Isaiah 17:14</t>
  </si>
  <si>
    <t xml:space="preserve">Proslogion §18</t>
  </si>
  <si>
    <t xml:space="preserve">Pro_insipiente §6</t>
  </si>
  <si>
    <t xml:space="preserve">Romans 3:8</t>
  </si>
  <si>
    <t xml:space="preserve">“aiunt quidam”</t>
  </si>
  <si>
    <t xml:space="preserve">Monologion §64</t>
  </si>
  <si>
    <t xml:space="preserve">Job 38:37</t>
  </si>
  <si>
    <t xml:space="preserve">“quis enarrabit”</t>
  </si>
  <si>
    <t xml:space="preserve">Mark 12:33</t>
  </si>
  <si>
    <t xml:space="preserve">“toto intellectu”</t>
  </si>
  <si>
    <t xml:space="preserve">Ezekiel 48:8</t>
  </si>
  <si>
    <t xml:space="preserve">“singulae partes”</t>
  </si>
  <si>
    <t xml:space="preserve">Monologion §10</t>
  </si>
  <si>
    <t xml:space="preserve">Wisdom 13:13</t>
  </si>
  <si>
    <t xml:space="preserve">“suae artis”</t>
  </si>
  <si>
    <t xml:space="preserve">Proslogion §26</t>
  </si>
  <si>
    <t xml:space="preserve">Tobias 3:15</t>
  </si>
  <si>
    <t xml:space="preserve">“peto domine”</t>
  </si>
  <si>
    <t xml:space="preserve">Judges 18:10</t>
  </si>
  <si>
    <t xml:space="preserve">“nullius rei”</t>
  </si>
  <si>
    <t xml:space="preserve">2 Corinthians 8:14</t>
  </si>
  <si>
    <t xml:space="preserve">“praesenti tempore”</t>
  </si>
  <si>
    <t xml:space="preserve">2 Macabees 6:26</t>
  </si>
  <si>
    <t xml:space="preserve">2 Chronicles 16:9</t>
  </si>
  <si>
    <t xml:space="preserve">1 Chronicles 21:22</t>
  </si>
  <si>
    <t xml:space="preserve">“quantum ualet”</t>
  </si>
  <si>
    <t xml:space="preserve">1 Chronicles 21:24</t>
  </si>
  <si>
    <t xml:space="preserve">Sirach 41:14</t>
  </si>
  <si>
    <t xml:space="preserve">“luctus hominum”</t>
  </si>
  <si>
    <t xml:space="preserve">Psalms 121:9</t>
  </si>
  <si>
    <t xml:space="preserve">“quaesiui bona”</t>
  </si>
  <si>
    <t xml:space="preserve">Tobias 10:10</t>
  </si>
  <si>
    <t xml:space="preserve">“nulla ratione”</t>
  </si>
  <si>
    <t xml:space="preserve">Wisdom 17:9</t>
  </si>
  <si>
    <t xml:space="preserve">Proslogion §11</t>
  </si>
  <si>
    <t xml:space="preserve">Monologion §65</t>
  </si>
  <si>
    <t xml:space="preserve">Deuteronomy 4:15</t>
  </si>
  <si>
    <t xml:space="preserve">“aliquam similitudinem”</t>
  </si>
  <si>
    <t xml:space="preserve">Deuteronomy 4:25</t>
  </si>
  <si>
    <t xml:space="preserve">Deuteronomy 24:10</t>
  </si>
  <si>
    <t xml:space="preserve">“rem aliquam”</t>
  </si>
  <si>
    <t xml:space="preserve">Responsio §3</t>
  </si>
  <si>
    <t xml:space="preserve">Sirach 16:21</t>
  </si>
  <si>
    <t xml:space="preserve">“quis intelligit”</t>
  </si>
  <si>
    <t xml:space="preserve">Psalms 18:13</t>
  </si>
  <si>
    <t xml:space="preserve">Hebrews 5:6</t>
  </si>
  <si>
    <t xml:space="preserve">“alio loco”</t>
  </si>
  <si>
    <t xml:space="preserve">Sirach 4:16</t>
  </si>
  <si>
    <t xml:space="preserve">“illam permanebit”</t>
  </si>
  <si>
    <t xml:space="preserve">Daniel 2:30</t>
  </si>
  <si>
    <t xml:space="preserve">“mentis tuae”</t>
  </si>
  <si>
    <t xml:space="preserve">Romans 7:23</t>
  </si>
  <si>
    <t xml:space="preserve">“mentis meae”</t>
  </si>
  <si>
    <t xml:space="preserve">Psalms 30:23</t>
  </si>
  <si>
    <t xml:space="preserve">1 Corinthians 7:37</t>
  </si>
  <si>
    <t xml:space="preserve">“suae uoluntatis”</t>
  </si>
  <si>
    <t xml:space="preserve">Monologion §53</t>
  </si>
  <si>
    <t xml:space="preserve">Esther 9:28</t>
  </si>
  <si>
    <t xml:space="preserve">“nulla umquam”</t>
  </si>
  <si>
    <t xml:space="preserve">Ecclesiastes 7:30</t>
  </si>
  <si>
    <t xml:space="preserve">“quis talis”</t>
  </si>
  <si>
    <t xml:space="preserve">Pro_insipiente §5</t>
  </si>
  <si>
    <t xml:space="preserve">2 Macabees 3:8</t>
  </si>
  <si>
    <t xml:space="preserve">“re uera”</t>
  </si>
  <si>
    <t xml:space="preserve">Monologion §16</t>
  </si>
  <si>
    <t xml:space="preserve">2 Macabees 2:3</t>
  </si>
  <si>
    <t xml:space="preserve">“alia huiusmodi”</t>
  </si>
  <si>
    <t xml:space="preserve">Philippians 4:8</t>
  </si>
  <si>
    <t xml:space="preserve">“quaecumque iusta”</t>
  </si>
  <si>
    <t xml:space="preserve">Monologion §80</t>
  </si>
  <si>
    <t xml:space="preserve">Esther 16:15</t>
  </si>
  <si>
    <t xml:space="preserve">“nulla penitus”</t>
  </si>
  <si>
    <t xml:space="preserve">Esther 14:14</t>
  </si>
  <si>
    <t xml:space="preserve">“nullum aliud”</t>
  </si>
  <si>
    <t xml:space="preserve">Monologion §32</t>
  </si>
  <si>
    <t xml:space="preserve">Deuteronomy 20:16</t>
  </si>
  <si>
    <t xml:space="preserve">“nullum omnino”</t>
  </si>
  <si>
    <t xml:space="preserve">Monologion §78</t>
  </si>
  <si>
    <t xml:space="preserve">Hebrews 5:3</t>
  </si>
  <si>
    <t xml:space="preserve">“debet quemadmodum”</t>
  </si>
  <si>
    <t xml:space="preserve">Proslogion §9</t>
  </si>
  <si>
    <t xml:space="preserve">Esther 6:6</t>
  </si>
  <si>
    <t xml:space="preserve">“debet fieri”</t>
  </si>
  <si>
    <t xml:space="preserve">Psalms 118:144</t>
  </si>
  <si>
    <t xml:space="preserve">“intellectum da”</t>
  </si>
  <si>
    <t xml:space="preserve">2 Corinthians 10:5</t>
  </si>
  <si>
    <t xml:space="preserve">“omnem intellectum”</t>
  </si>
  <si>
    <t xml:space="preserve">Proslogion §16</t>
  </si>
  <si>
    <t xml:space="preserve">Galatians 4:18</t>
  </si>
  <si>
    <t xml:space="preserve">“praesens sum”</t>
  </si>
  <si>
    <t xml:space="preserve">Mark 14:35</t>
  </si>
  <si>
    <t xml:space="preserve">“fieri posset”</t>
  </si>
  <si>
    <t xml:space="preserve">Tobias 10:7</t>
  </si>
  <si>
    <t xml:space="preserve">Galatians 4:15</t>
  </si>
  <si>
    <t xml:space="preserve">Responsio §2</t>
  </si>
  <si>
    <t xml:space="preserve">Revelation 13:18</t>
  </si>
  <si>
    <t xml:space="preserve">“habet intellectum”</t>
  </si>
  <si>
    <t xml:space="preserve">Deuteronomy 13:11</t>
  </si>
  <si>
    <t xml:space="preserve">“rei simile”</t>
  </si>
  <si>
    <t xml:space="preserve">Deuteronomy 13:14</t>
  </si>
  <si>
    <t xml:space="preserve">“rei ueritate”</t>
  </si>
  <si>
    <t xml:space="preserve">Pro_insipiente §7</t>
  </si>
  <si>
    <t xml:space="preserve">Responsio §5</t>
  </si>
  <si>
    <t xml:space="preserve">Monologion §31</t>
  </si>
  <si>
    <t xml:space="preserve">Judith 14:3</t>
  </si>
  <si>
    <t xml:space="preserve">“necesse erit”</t>
  </si>
  <si>
    <t xml:space="preserve">Baruch 2:16</t>
  </si>
  <si>
    <t xml:space="preserve">“respice domine”</t>
  </si>
  <si>
    <t xml:space="preserve">Monologion §8</t>
  </si>
  <si>
    <t xml:space="preserve">Leviticus 11:32</t>
  </si>
  <si>
    <t xml:space="preserve">“quocumque fit”</t>
  </si>
  <si>
    <t xml:space="preserve">Responsio §8</t>
  </si>
  <si>
    <t xml:space="preserve">Job 5:6</t>
  </si>
  <si>
    <t xml:space="preserve">“causa fit”</t>
  </si>
  <si>
    <t xml:space="preserve">2 Chronicles 19:5</t>
  </si>
  <si>
    <t xml:space="preserve">“singula loca”</t>
  </si>
  <si>
    <t xml:space="preserve">1 Chronicles 12:32</t>
  </si>
  <si>
    <t xml:space="preserve">“singula tempora”</t>
  </si>
  <si>
    <t xml:space="preserve">Psalms 17:29</t>
  </si>
  <si>
    <t xml:space="preserve">“tenebras meas”</t>
  </si>
  <si>
    <t xml:space="preserve">2 Samuel 22:29</t>
  </si>
  <si>
    <t xml:space="preserve">Pro_insipiente §3</t>
  </si>
  <si>
    <t xml:space="preserve">1 Macabees 4:19</t>
  </si>
  <si>
    <t xml:space="preserve">“pars quaedam”</t>
  </si>
  <si>
    <t xml:space="preserve">Monologion §3</t>
  </si>
  <si>
    <t xml:space="preserve">Daniel 2:39</t>
  </si>
  <si>
    <t xml:space="preserve">“aliud minus”</t>
  </si>
  <si>
    <t xml:space="preserve">Monologion §37</t>
  </si>
  <si>
    <t xml:space="preserve">Tobias 5:22</t>
  </si>
  <si>
    <t xml:space="preserve">“ambo simul”</t>
  </si>
  <si>
    <t xml:space="preserve">Tobias 8:6</t>
  </si>
  <si>
    <t xml:space="preserve">Tobias 10:3</t>
  </si>
  <si>
    <t xml:space="preserve">Monologion §38</t>
  </si>
  <si>
    <t xml:space="preserve">Proslogion §3</t>
  </si>
  <si>
    <t xml:space="preserve">Ecclesiastes 10:11</t>
  </si>
  <si>
    <t xml:space="preserve">“minus habet”</t>
  </si>
  <si>
    <t xml:space="preserve">Monologion §43</t>
  </si>
  <si>
    <t xml:space="preserve">Genesis 29:34</t>
  </si>
  <si>
    <t xml:space="preserve">“alium filium”</t>
  </si>
  <si>
    <t xml:space="preserve">Monologion §44</t>
  </si>
  <si>
    <t xml:space="preserve">Romans 12:5</t>
  </si>
  <si>
    <t xml:space="preserve">“alter alterius”</t>
  </si>
  <si>
    <t xml:space="preserve">Galatians 6:2</t>
  </si>
  <si>
    <t xml:space="preserve">Monologion §48</t>
  </si>
  <si>
    <t xml:space="preserve">Lamentations 3:20</t>
  </si>
  <si>
    <t xml:space="preserve">“memoria memor”</t>
  </si>
  <si>
    <t xml:space="preserve">Proslogion §24</t>
  </si>
  <si>
    <t xml:space="preserve">1 Macabees 5:62</t>
  </si>
  <si>
    <t xml:space="preserve">“salus facta”</t>
  </si>
  <si>
    <t xml:space="preserve">Monologion §60</t>
  </si>
  <si>
    <t xml:space="preserve">Luke 10:36</t>
  </si>
  <si>
    <t xml:space="preserve">“horum trium”</t>
  </si>
  <si>
    <t xml:space="preserve">Mark 12:30</t>
  </si>
  <si>
    <t xml:space="preserve">“tota mente”</t>
  </si>
  <si>
    <t xml:space="preserve">Matthew 22:37</t>
  </si>
  <si>
    <t xml:space="preserve">Monologion §63</t>
  </si>
  <si>
    <t xml:space="preserve">Matthew 4:21</t>
  </si>
  <si>
    <t xml:space="preserve">“alios duos”</t>
  </si>
  <si>
    <t xml:space="preserve">Exodus 28:27</t>
  </si>
  <si>
    <t xml:space="preserve">John 19:18</t>
  </si>
  <si>
    <t xml:space="preserve">Luke 11:18</t>
  </si>
  <si>
    <t xml:space="preserve">“quomodo stabit”</t>
  </si>
  <si>
    <t xml:space="preserve">1 Corinthians 3:4</t>
  </si>
  <si>
    <t xml:space="preserve">“quis dicat”</t>
  </si>
  <si>
    <t xml:space="preserve">1 Corinthians 1:15</t>
  </si>
  <si>
    <t xml:space="preserve">James 2:14</t>
  </si>
  <si>
    <t xml:space="preserve">Isaiah 33:6</t>
  </si>
  <si>
    <t xml:space="preserve">“erit fides”</t>
  </si>
  <si>
    <t xml:space="preserve">Isaiah 34:16</t>
  </si>
  <si>
    <t xml:space="preserve">“alter alterum”</t>
  </si>
  <si>
    <t xml:space="preserve">2 Samuel 14:6</t>
  </si>
  <si>
    <t xml:space="preserve">Esther 9:3</t>
  </si>
  <si>
    <t xml:space="preserve">“singulis locis”</t>
  </si>
  <si>
    <t xml:space="preserve">Monologion §25</t>
  </si>
  <si>
    <t xml:space="preserve">Jeremiah 2:21</t>
  </si>
  <si>
    <t xml:space="preserve">“uerum quomodo”</t>
  </si>
  <si>
    <t xml:space="preserve">Proslogion §4</t>
  </si>
  <si>
    <t xml:space="preserve">Proslogion §23</t>
  </si>
  <si>
    <t xml:space="preserve">Psalms 93:3</t>
  </si>
  <si>
    <t xml:space="preserve">“domine usquequo”</t>
  </si>
  <si>
    <t xml:space="preserve">Psalms 6:4</t>
  </si>
  <si>
    <t xml:space="preserve">Psalms 89:13</t>
  </si>
  <si>
    <t xml:space="preserve">Matthew 4:16</t>
  </si>
  <si>
    <t xml:space="preserve">“uidit lucem”</t>
  </si>
  <si>
    <t xml:space="preserve">Isaiah 9:2</t>
  </si>
  <si>
    <t xml:space="preserve">1 Corinthians 14:27</t>
  </si>
  <si>
    <t xml:space="preserve">“loquitur secundum”</t>
  </si>
  <si>
    <t xml:space="preserve">Monologion §24</t>
  </si>
  <si>
    <t xml:space="preserve">1 Macabees 10:30</t>
  </si>
  <si>
    <t xml:space="preserve">“totum tempus”</t>
  </si>
  <si>
    <t xml:space="preserve">1 Macabees 15:8</t>
  </si>
  <si>
    <t xml:space="preserve">Monologion §59</t>
  </si>
  <si>
    <t xml:space="preserve">1 Corinthians 12:9</t>
  </si>
  <si>
    <t xml:space="preserve">“eodem spiritu”</t>
  </si>
  <si>
    <t xml:space="preserve">2 Corinthians 12:18</t>
  </si>
  <si>
    <t xml:space="preserve">Isaiah 30:26</t>
  </si>
  <si>
    <t xml:space="preserve">“lux solis”</t>
  </si>
  <si>
    <t xml:space="preserve">Ecclesiastes 7:13</t>
  </si>
  <si>
    <t xml:space="preserve">“plus habet”</t>
  </si>
  <si>
    <t xml:space="preserve">Sirach 15:10</t>
  </si>
  <si>
    <t xml:space="preserve">“sapientia sapientiae”</t>
  </si>
  <si>
    <t xml:space="preserve">Psalms 39:13</t>
  </si>
  <si>
    <t xml:space="preserve">“iniquitates meae”</t>
  </si>
  <si>
    <t xml:space="preserve">1 Kings 17:18</t>
  </si>
  <si>
    <t xml:space="preserve">2 Kings 19:17</t>
  </si>
  <si>
    <t xml:space="preserve">“uere domine”</t>
  </si>
  <si>
    <t xml:space="preserve">Pro_insipiente §2</t>
  </si>
  <si>
    <t xml:space="preserve">1 Macabees 11:27</t>
  </si>
  <si>
    <t xml:space="preserve">“quaecumque alia”</t>
  </si>
  <si>
    <t xml:space="preserve">1 Macabees 15:5</t>
  </si>
  <si>
    <t xml:space="preserve">Lamentations 5:15</t>
  </si>
  <si>
    <t xml:space="preserve">“gaudium cordis”</t>
  </si>
  <si>
    <t xml:space="preserve">Psalms 34:3</t>
  </si>
  <si>
    <t xml:space="preserve">“dic animae meae”</t>
  </si>
  <si>
    <t xml:space="preserve">2 Samuel 9:11</t>
  </si>
  <si>
    <t xml:space="preserve">“faciet seruus tuus”</t>
  </si>
  <si>
    <t xml:space="preserve">1 Kings 2:38</t>
  </si>
  <si>
    <t xml:space="preserve">coincidental n-gram</t>
  </si>
  <si>
    <t xml:space="preserve">Wisdom 11:25</t>
  </si>
  <si>
    <t xml:space="preserve">“omnia quae sunt et”</t>
  </si>
  <si>
    <t xml:space="preserve">“ea quae facta sunt”</t>
  </si>
  <si>
    <t xml:space="preserve">Monologion §9</t>
  </si>
  <si>
    <t xml:space="preserve">Monologion §13</t>
  </si>
  <si>
    <t xml:space="preserve">1 Corinthians 1:28</t>
  </si>
  <si>
    <t xml:space="preserve">“ut ea quae sunt”</t>
  </si>
  <si>
    <t xml:space="preserve">Monologion §14</t>
  </si>
  <si>
    <t xml:space="preserve">Colossians 3:11</t>
  </si>
  <si>
    <t xml:space="preserve">“omnia et in omnibus”</t>
  </si>
  <si>
    <t xml:space="preserve">Luke 21:4</t>
  </si>
  <si>
    <t xml:space="preserve">“autem ex eo quod”</t>
  </si>
  <si>
    <t xml:space="preserve">Galatians 1:7</t>
  </si>
  <si>
    <t xml:space="preserve">“quod non est aliud”</t>
  </si>
  <si>
    <t xml:space="preserve">Monologion §20</t>
  </si>
  <si>
    <t xml:space="preserve">Philippians 4:12</t>
  </si>
  <si>
    <t xml:space="preserve">“ubique et in omnibus”</t>
  </si>
  <si>
    <t xml:space="preserve">2 Kings 20:15</t>
  </si>
  <si>
    <t xml:space="preserve">“nihil est quod non”</t>
  </si>
  <si>
    <t xml:space="preserve">Daniel 5:29</t>
  </si>
  <si>
    <t xml:space="preserve">“est de eo quod”</t>
  </si>
  <si>
    <t xml:space="preserve">“per ipsum facta sunt”</t>
  </si>
  <si>
    <t xml:space="preserve">Daniel 13:22</t>
  </si>
  <si>
    <t xml:space="preserve">“est si autem non”</t>
  </si>
  <si>
    <t xml:space="preserve">Monologion §35</t>
  </si>
  <si>
    <t xml:space="preserve">1 Samuel 9:19</t>
  </si>
  <si>
    <t xml:space="preserve">“omnia quae sunt in”</t>
  </si>
  <si>
    <t xml:space="preserve">2 Kings 20:17</t>
  </si>
  <si>
    <t xml:space="preserve">1 Peter 2:12</t>
  </si>
  <si>
    <t xml:space="preserve">“ut in eo quod”</t>
  </si>
  <si>
    <t xml:space="preserve">1 Peter 3:16</t>
  </si>
  <si>
    <t xml:space="preserve">Matthew 19:6</t>
  </si>
  <si>
    <t xml:space="preserve">“non sunt duo sed”</t>
  </si>
  <si>
    <t xml:space="preserve">Mark 10:8</t>
  </si>
  <si>
    <t xml:space="preserve">“sicut enim pater habet”</t>
  </si>
  <si>
    <t xml:space="preserve">“patris et filii et”</t>
  </si>
  <si>
    <t xml:space="preserve">1 Samuel 23:25</t>
  </si>
  <si>
    <t xml:space="preserve">“ad quaerendum eum et”</t>
  </si>
  <si>
    <t xml:space="preserve">Isaiah 64:7</t>
  </si>
  <si>
    <t xml:space="preserve">“faciem tuam a nobis”</t>
  </si>
  <si>
    <t xml:space="preserve">Deuteronomy 6:24</t>
  </si>
  <si>
    <t xml:space="preserve">“ut bene sit nobis”</t>
  </si>
  <si>
    <t xml:space="preserve">Jeremiah 42:6</t>
  </si>
  <si>
    <t xml:space="preserve">James 1:8</t>
  </si>
  <si>
    <t xml:space="preserve">“in omnibus uiis suis”</t>
  </si>
  <si>
    <t xml:space="preserve">1 Samuel 14:41</t>
  </si>
  <si>
    <t xml:space="preserve">“quid est quod non”</t>
  </si>
  <si>
    <t xml:space="preserve">1 John 2:8</t>
  </si>
  <si>
    <t xml:space="preserve">“quod uerum est et”</t>
  </si>
  <si>
    <t xml:space="preserve">Proslogion §15</t>
  </si>
  <si>
    <t xml:space="preserve">John 1:25</t>
  </si>
  <si>
    <t xml:space="preserve">“si tu non es”</t>
  </si>
  <si>
    <t xml:space="preserve">Proslogion §19</t>
  </si>
  <si>
    <t xml:space="preserve">Exodus 5:14</t>
  </si>
  <si>
    <t xml:space="preserve">“nec heri nec hodie”</t>
  </si>
  <si>
    <t xml:space="preserve">1 Samuel 20:27</t>
  </si>
  <si>
    <t xml:space="preserve">Sirach 13:5</t>
  </si>
  <si>
    <t xml:space="preserve">“te et si non”</t>
  </si>
  <si>
    <t xml:space="preserve">Job 24:25</t>
  </si>
  <si>
    <t xml:space="preserve">“quod si non est”</t>
  </si>
  <si>
    <t xml:space="preserve">Words</t>
  </si>
  <si>
    <t xml:space="preserve">Quotation (A–C)</t>
  </si>
  <si>
    <t xml:space="preserve">Quote /1k</t>
  </si>
  <si>
    <t xml:space="preserve">Concept (D)</t>
  </si>
  <si>
    <t xml:space="preserve">Concept /1k</t>
  </si>
  <si>
    <t xml:space="preserve">Total</t>
  </si>
  <si>
    <t xml:space="preserve">Total /1k</t>
  </si>
  <si>
    <t xml:space="preserve">Pro insipiente</t>
  </si>
  <si>
    <t xml:space="preserve">TOTAL</t>
  </si>
  <si>
    <t xml:space="preserve">Density = scriptural references per 1,000 words of body text. Quotation = explicit/near-verbatim (tiers A–C); Concept = thematic echo (tier D).</t>
  </si>
  <si>
    <t xml:space="preserve">Anselm of Canterbury — Biblical Allusions (contextually validated)</t>
  </si>
  <si>
    <t xml:space="preserve">Every entry read against its Anselmian context and its Vulgate verse-context.</t>
  </si>
  <si>
    <t xml:space="preserve">Validated allusions by tier</t>
  </si>
  <si>
    <t xml:space="preserve">A — verbatim / explicit quotation</t>
  </si>
  <si>
    <t xml:space="preserve">B — probable quotation / paraphrase</t>
  </si>
  <si>
    <t xml:space="preserve">C — distinctive short verbal echo</t>
  </si>
  <si>
    <t xml:space="preserve">D — thematic / conceptual echo</t>
  </si>
  <si>
    <t xml:space="preserve">Total validated</t>
  </si>
  <si>
    <t xml:space="preserve">Textual quotation by work (A+B+C)</t>
  </si>
  <si>
    <t xml:space="preserve">  Proslogion</t>
  </si>
  <si>
    <t xml:space="preserve">  Monologion</t>
  </si>
  <si>
    <t xml:space="preserve">  Pro insipiente</t>
  </si>
  <si>
    <t xml:space="preserve">  Responsio</t>
  </si>
  <si>
    <t xml:space="preserve">Contextual review outcome</t>
  </si>
  <si>
    <t xml:space="preserve">Excluded as contextually unsound</t>
  </si>
  <si>
    <t xml:space="preserve">11</t>
  </si>
  <si>
    <t xml:space="preserve">Re-attributed (wrong source)</t>
  </si>
  <si>
    <t xml:space="preserve">2</t>
  </si>
  <si>
    <t xml:space="preserve">Promoted thematic → textual (verbatim)</t>
  </si>
  <si>
    <t xml:space="preserve">5</t>
  </si>
  <si>
    <t xml:space="preserve">Psalm refs renumbered (modern → Vulgate)</t>
  </si>
  <si>
    <t xml:space="preserve">8</t>
  </si>
  <si>
    <t xml:space="preserve">Note</t>
  </si>
  <si>
    <t xml:space="preserve">Psalm references use Vulgate (Septuagint) numbering, one behind modern Bibles for Pss 10–147.</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</si>
</sst>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b val="true"/>
      <sz val="10"/>
      <name val="Calibri"/>
      <family val="0"/>
      <charset val="1"/>
    </font>
    <font>
      <sz val="10"/>
      <name val="Calibri"/>
      <family val="0"/>
      <charset val="1"/>
    </font>
    <font>
      <b val="true"/>
      <i val="true"/>
      <sz val="11"/>
      <color rgb="FF8A4B4B"/>
      <name val="Cambria"/>
      <family val="0"/>
      <charset val="1"/>
    </font>
    <font>
      <b val="true"/>
      <sz val="10"/>
      <name val="Cambria"/>
      <family val="0"/>
      <charset val="1"/>
    </font>
    <font>
      <i val="true"/>
      <sz val="9"/>
      <color rgb="FF666666"/>
      <name val="Cambria"/>
      <family val="0"/>
      <charset val="1"/>
    </font>
    <font>
      <b val="true"/>
      <sz val="14"/>
      <color rgb="FF243447"/>
      <name val="Cambria"/>
      <family val="0"/>
      <charset val="1"/>
    </font>
    <font>
      <i val="true"/>
      <sz val="10"/>
      <name val="Cambria"/>
      <family val="0"/>
      <charset val="1"/>
    </font>
    <font>
      <b val="true"/>
      <sz val="13"/>
      <color rgb="FF243447"/>
      <name val="Cambria"/>
      <family val="0"/>
      <charset val="1"/>
    </font>
    <font>
      <sz val="11"/>
      <name val="Cambria"/>
      <family val="0"/>
      <charset val="1"/>
    </font>
    <font>
      <b val="true"/>
      <sz val="11"/>
      <name val="Cambria"/>
      <family val="0"/>
      <charset val="1"/>
    </font>
  </fonts>
  <fills count="8">
    <fill>
      <patternFill patternType="none"/>
    </fill>
    <fill>
      <patternFill patternType="gray125"/>
    </fill>
    <fill>
      <patternFill patternType="solid">
        <fgColor rgb="FF243447"/>
        <bgColor rgb="FF003366"/>
      </patternFill>
    </fill>
    <fill>
      <patternFill patternType="solid">
        <fgColor rgb="FFCDE5CC"/>
        <bgColor rgb="FFD6E8D5"/>
      </patternFill>
    </fill>
    <fill>
      <patternFill patternType="solid">
        <fgColor rgb="FFFBE9C6"/>
        <bgColor rgb="FFF6D9C9"/>
      </patternFill>
    </fill>
    <fill>
      <patternFill patternType="solid">
        <fgColor rgb="FFF6D9C9"/>
        <bgColor rgb="FFFBE9C6"/>
      </patternFill>
    </fill>
    <fill>
      <patternFill patternType="solid">
        <fgColor rgb="FFE2DAF0"/>
        <bgColor rgb="FFD5D5D5"/>
      </patternFill>
    </fill>
    <fill>
      <patternFill patternType="solid">
        <fgColor rgb="FFD6E8D5"/>
        <bgColor rgb="FFCDE5CC"/>
      </patternFill>
    </fill>
  </fills>
  <borders count="2">
    <border diagonalUp="false" diagonalDown="false">
      <left/>
      <right/>
      <top/>
      <bottom/>
      <diagonal/>
    </border>
    <border diagonalUp="false" diagonalDown="false">
      <left style="thin">
        <color rgb="FFD5D5D5"/>
      </left>
      <right style="thin">
        <color rgb="FFD5D5D5"/>
      </right>
      <top style="thin">
        <color rgb="FFD5D5D5"/>
      </top>
      <bottom style="thin">
        <color rgb="FFD5D5D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8" fillId="7"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243447"/>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8A4B4B"/>
      <rgbColor rgb="FFFBE9C6"/>
      <rgbColor rgb="FFCDE5CC"/>
      <rgbColor rgb="FF660066"/>
      <rgbColor rgb="FFFF8080"/>
      <rgbColor rgb="FF0066CC"/>
      <rgbColor rgb="FFD5D5D5"/>
      <rgbColor rgb="FF000080"/>
      <rgbColor rgb="FFFF00FF"/>
      <rgbColor rgb="FFFFFF00"/>
      <rgbColor rgb="FF00FFFF"/>
      <rgbColor rgb="FF800080"/>
      <rgbColor rgb="FF800000"/>
      <rgbColor rgb="FF008080"/>
      <rgbColor rgb="FF0000FF"/>
      <rgbColor rgb="FF00CCFF"/>
      <rgbColor rgb="FFE2DAF0"/>
      <rgbColor rgb="FFD6E8D5"/>
      <rgbColor rgb="FFFFFF99"/>
      <rgbColor rgb="FF99CCFF"/>
      <rgbColor rgb="FFFF99CC"/>
      <rgbColor rgb="FFCC99FF"/>
      <rgbColor rgb="FFF6D9C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4344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3" min="3" style="0" width="12"/>
    <col collapsed="false" customWidth="true" hidden="false" outlineLevel="0" max="4" min="4" style="0" width="5"/>
    <col collapsed="false" customWidth="true" hidden="false" outlineLevel="0" max="5" min="5" style="0" width="16"/>
    <col collapsed="false" customWidth="true" hidden="false" outlineLevel="0" max="6" min="6" style="0" width="13"/>
    <col collapsed="false" customWidth="true" hidden="false" outlineLevel="0" max="7" min="7" style="0" width="40"/>
    <col collapsed="false" customWidth="true" hidden="false" outlineLevel="0" max="8" min="8" style="0" width="44"/>
    <col collapsed="false" customWidth="true" hidden="false" outlineLevel="0" max="9" min="9" style="0" width="22"/>
    <col collapsed="false" customWidth="true" hidden="false" outlineLevel="0" max="10" min="10" style="0" width="34"/>
  </cols>
  <sheetData>
    <row r="1" customFormat="false" ht="27.75" hidden="false" customHeight="true" outlineLevel="0" collapsed="false">
      <c r="A1" s="1" t="s">
        <v>0</v>
      </c>
      <c r="B1" s="1" t="s">
        <v>1</v>
      </c>
      <c r="C1" s="1" t="s">
        <v>2</v>
      </c>
      <c r="D1" s="1" t="s">
        <v>3</v>
      </c>
      <c r="E1" s="1" t="s">
        <v>4</v>
      </c>
      <c r="F1" s="1" t="s">
        <v>5</v>
      </c>
      <c r="G1" s="1" t="s">
        <v>6</v>
      </c>
      <c r="H1" s="1" t="s">
        <v>7</v>
      </c>
      <c r="I1" s="1" t="s">
        <v>8</v>
      </c>
      <c r="J1" s="1" t="s">
        <v>9</v>
      </c>
    </row>
    <row r="2" customFormat="false" ht="20.85" hidden="false" customHeight="false" outlineLevel="0" collapsed="false">
      <c r="A2" s="2" t="s">
        <v>10</v>
      </c>
      <c r="B2" s="3" t="s">
        <v>11</v>
      </c>
      <c r="C2" s="3" t="s">
        <v>12</v>
      </c>
      <c r="D2" s="3" t="n">
        <v>64</v>
      </c>
      <c r="E2" s="3" t="s">
        <v>13</v>
      </c>
      <c r="F2" s="3" t="s">
        <v>14</v>
      </c>
      <c r="G2" s="4" t="s">
        <v>15</v>
      </c>
      <c r="H2" s="4" t="s">
        <v>16</v>
      </c>
      <c r="I2" s="3" t="s">
        <v>17</v>
      </c>
      <c r="J2" s="4"/>
    </row>
    <row r="3" customFormat="false" ht="30.55" hidden="false" customHeight="false" outlineLevel="0" collapsed="false">
      <c r="A3" s="2" t="s">
        <v>10</v>
      </c>
      <c r="B3" s="3" t="s">
        <v>11</v>
      </c>
      <c r="C3" s="3" t="s">
        <v>12</v>
      </c>
      <c r="D3" s="3" t="n">
        <v>64</v>
      </c>
      <c r="E3" s="3" t="s">
        <v>18</v>
      </c>
      <c r="F3" s="3" t="s">
        <v>14</v>
      </c>
      <c r="G3" s="4" t="s">
        <v>15</v>
      </c>
      <c r="H3" s="4" t="s">
        <v>19</v>
      </c>
      <c r="I3" s="3" t="s">
        <v>17</v>
      </c>
      <c r="J3" s="4" t="s">
        <v>20</v>
      </c>
    </row>
    <row r="4" customFormat="false" ht="30.55" hidden="false" customHeight="false" outlineLevel="0" collapsed="false">
      <c r="A4" s="2" t="s">
        <v>10</v>
      </c>
      <c r="B4" s="3" t="s">
        <v>11</v>
      </c>
      <c r="C4" s="3" t="s">
        <v>12</v>
      </c>
      <c r="D4" s="3" t="n">
        <v>70</v>
      </c>
      <c r="E4" s="3" t="s">
        <v>21</v>
      </c>
      <c r="F4" s="3" t="s">
        <v>22</v>
      </c>
      <c r="G4" s="4" t="s">
        <v>23</v>
      </c>
      <c r="H4" s="4" t="s">
        <v>24</v>
      </c>
      <c r="I4" s="3"/>
      <c r="J4" s="4" t="s">
        <v>25</v>
      </c>
    </row>
    <row r="5" customFormat="false" ht="20.85" hidden="false" customHeight="false" outlineLevel="0" collapsed="false">
      <c r="A5" s="2" t="s">
        <v>10</v>
      </c>
      <c r="B5" s="3" t="s">
        <v>11</v>
      </c>
      <c r="C5" s="3" t="s">
        <v>26</v>
      </c>
      <c r="D5" s="3" t="n">
        <v>1</v>
      </c>
      <c r="E5" s="3" t="s">
        <v>27</v>
      </c>
      <c r="F5" s="3" t="s">
        <v>14</v>
      </c>
      <c r="G5" s="4" t="s">
        <v>28</v>
      </c>
      <c r="H5" s="4" t="s">
        <v>29</v>
      </c>
      <c r="I5" s="3" t="s">
        <v>30</v>
      </c>
      <c r="J5" s="4"/>
    </row>
    <row r="6" customFormat="false" ht="30.55" hidden="false" customHeight="false" outlineLevel="0" collapsed="false">
      <c r="A6" s="2" t="s">
        <v>10</v>
      </c>
      <c r="B6" s="3" t="s">
        <v>11</v>
      </c>
      <c r="C6" s="3" t="s">
        <v>26</v>
      </c>
      <c r="D6" s="3" t="n">
        <v>2</v>
      </c>
      <c r="E6" s="3" t="s">
        <v>31</v>
      </c>
      <c r="F6" s="3" t="s">
        <v>14</v>
      </c>
      <c r="G6" s="4" t="s">
        <v>32</v>
      </c>
      <c r="H6" s="4" t="s">
        <v>33</v>
      </c>
      <c r="I6" s="3" t="s">
        <v>34</v>
      </c>
      <c r="J6" s="4" t="s">
        <v>35</v>
      </c>
    </row>
    <row r="7" customFormat="false" ht="20.85" hidden="false" customHeight="false" outlineLevel="0" collapsed="false">
      <c r="A7" s="2" t="s">
        <v>10</v>
      </c>
      <c r="B7" s="3" t="s">
        <v>11</v>
      </c>
      <c r="C7" s="3" t="s">
        <v>26</v>
      </c>
      <c r="D7" s="3" t="n">
        <v>2</v>
      </c>
      <c r="E7" s="3" t="s">
        <v>36</v>
      </c>
      <c r="F7" s="3" t="s">
        <v>14</v>
      </c>
      <c r="G7" s="4" t="s">
        <v>32</v>
      </c>
      <c r="H7" s="4" t="s">
        <v>37</v>
      </c>
      <c r="I7" s="3" t="s">
        <v>34</v>
      </c>
      <c r="J7" s="4"/>
    </row>
    <row r="8" customFormat="false" ht="30.55" hidden="false" customHeight="false" outlineLevel="0" collapsed="false">
      <c r="A8" s="2" t="s">
        <v>10</v>
      </c>
      <c r="B8" s="3" t="s">
        <v>11</v>
      </c>
      <c r="C8" s="3" t="s">
        <v>26</v>
      </c>
      <c r="D8" s="3" t="n">
        <v>3</v>
      </c>
      <c r="E8" s="3" t="s">
        <v>31</v>
      </c>
      <c r="F8" s="3" t="s">
        <v>14</v>
      </c>
      <c r="G8" s="4" t="s">
        <v>32</v>
      </c>
      <c r="H8" s="4" t="s">
        <v>33</v>
      </c>
      <c r="I8" s="3" t="s">
        <v>34</v>
      </c>
      <c r="J8" s="4"/>
    </row>
    <row r="9" customFormat="false" ht="20.85" hidden="false" customHeight="false" outlineLevel="0" collapsed="false">
      <c r="A9" s="2" t="s">
        <v>10</v>
      </c>
      <c r="B9" s="3" t="s">
        <v>11</v>
      </c>
      <c r="C9" s="3" t="s">
        <v>26</v>
      </c>
      <c r="D9" s="3" t="n">
        <v>3</v>
      </c>
      <c r="E9" s="3" t="s">
        <v>36</v>
      </c>
      <c r="F9" s="3" t="s">
        <v>14</v>
      </c>
      <c r="G9" s="4" t="s">
        <v>32</v>
      </c>
      <c r="H9" s="4" t="s">
        <v>37</v>
      </c>
      <c r="I9" s="3" t="s">
        <v>34</v>
      </c>
      <c r="J9" s="4"/>
    </row>
    <row r="10" customFormat="false" ht="20.85" hidden="false" customHeight="false" outlineLevel="0" collapsed="false">
      <c r="A10" s="2" t="s">
        <v>10</v>
      </c>
      <c r="B10" s="3" t="s">
        <v>11</v>
      </c>
      <c r="C10" s="3" t="s">
        <v>26</v>
      </c>
      <c r="D10" s="3" t="n">
        <v>11</v>
      </c>
      <c r="E10" s="3" t="s">
        <v>38</v>
      </c>
      <c r="F10" s="3" t="s">
        <v>14</v>
      </c>
      <c r="G10" s="4" t="s">
        <v>39</v>
      </c>
      <c r="H10" s="4" t="s">
        <v>40</v>
      </c>
      <c r="I10" s="3" t="s">
        <v>41</v>
      </c>
      <c r="J10" s="4"/>
    </row>
    <row r="11" customFormat="false" ht="20.85" hidden="false" customHeight="false" outlineLevel="0" collapsed="false">
      <c r="A11" s="2" t="s">
        <v>10</v>
      </c>
      <c r="B11" s="3" t="s">
        <v>11</v>
      </c>
      <c r="C11" s="3" t="s">
        <v>26</v>
      </c>
      <c r="D11" s="3" t="n">
        <v>11</v>
      </c>
      <c r="E11" s="3" t="s">
        <v>42</v>
      </c>
      <c r="F11" s="3" t="s">
        <v>14</v>
      </c>
      <c r="G11" s="4" t="s">
        <v>43</v>
      </c>
      <c r="H11" s="4" t="s">
        <v>44</v>
      </c>
      <c r="I11" s="3" t="s">
        <v>45</v>
      </c>
      <c r="J11" s="4"/>
    </row>
    <row r="12" customFormat="false" ht="30.55" hidden="false" customHeight="false" outlineLevel="0" collapsed="false">
      <c r="A12" s="2" t="s">
        <v>10</v>
      </c>
      <c r="B12" s="3" t="s">
        <v>11</v>
      </c>
      <c r="C12" s="3" t="s">
        <v>26</v>
      </c>
      <c r="D12" s="3" t="n">
        <v>14</v>
      </c>
      <c r="E12" s="3" t="s">
        <v>46</v>
      </c>
      <c r="F12" s="3" t="s">
        <v>14</v>
      </c>
      <c r="G12" s="4" t="s">
        <v>47</v>
      </c>
      <c r="H12" s="4" t="s">
        <v>48</v>
      </c>
      <c r="I12" s="3" t="s">
        <v>49</v>
      </c>
      <c r="J12" s="4"/>
    </row>
    <row r="13" customFormat="false" ht="30.55" hidden="false" customHeight="false" outlineLevel="0" collapsed="false">
      <c r="A13" s="2" t="s">
        <v>10</v>
      </c>
      <c r="B13" s="3" t="s">
        <v>11</v>
      </c>
      <c r="C13" s="3" t="s">
        <v>26</v>
      </c>
      <c r="D13" s="3" t="n">
        <v>18</v>
      </c>
      <c r="E13" s="3" t="s">
        <v>50</v>
      </c>
      <c r="F13" s="3" t="s">
        <v>14</v>
      </c>
      <c r="G13" s="4" t="s">
        <v>51</v>
      </c>
      <c r="H13" s="4" t="s">
        <v>52</v>
      </c>
      <c r="I13" s="3" t="s">
        <v>53</v>
      </c>
      <c r="J13" s="4" t="s">
        <v>54</v>
      </c>
    </row>
    <row r="14" customFormat="false" ht="30.55" hidden="false" customHeight="false" outlineLevel="0" collapsed="false">
      <c r="A14" s="2" t="s">
        <v>10</v>
      </c>
      <c r="B14" s="3" t="s">
        <v>11</v>
      </c>
      <c r="C14" s="3" t="s">
        <v>26</v>
      </c>
      <c r="D14" s="3" t="n">
        <v>18</v>
      </c>
      <c r="E14" s="3" t="s">
        <v>55</v>
      </c>
      <c r="F14" s="3" t="s">
        <v>14</v>
      </c>
      <c r="G14" s="4" t="s">
        <v>56</v>
      </c>
      <c r="H14" s="4" t="s">
        <v>57</v>
      </c>
      <c r="I14" s="3" t="s">
        <v>58</v>
      </c>
      <c r="J14" s="4"/>
    </row>
    <row r="15" customFormat="false" ht="30.55" hidden="false" customHeight="false" outlineLevel="0" collapsed="false">
      <c r="A15" s="2" t="s">
        <v>10</v>
      </c>
      <c r="B15" s="3" t="s">
        <v>11</v>
      </c>
      <c r="C15" s="3" t="s">
        <v>26</v>
      </c>
      <c r="D15" s="3" t="n">
        <v>18</v>
      </c>
      <c r="E15" s="3" t="s">
        <v>59</v>
      </c>
      <c r="F15" s="3" t="s">
        <v>14</v>
      </c>
      <c r="G15" s="4" t="s">
        <v>56</v>
      </c>
      <c r="H15" s="4" t="s">
        <v>60</v>
      </c>
      <c r="I15" s="3" t="s">
        <v>58</v>
      </c>
      <c r="J15" s="4"/>
    </row>
    <row r="16" customFormat="false" ht="20.85" hidden="false" customHeight="false" outlineLevel="0" collapsed="false">
      <c r="A16" s="2" t="s">
        <v>10</v>
      </c>
      <c r="B16" s="3" t="s">
        <v>11</v>
      </c>
      <c r="C16" s="3" t="s">
        <v>26</v>
      </c>
      <c r="D16" s="3" t="n">
        <v>18</v>
      </c>
      <c r="E16" s="3" t="s">
        <v>61</v>
      </c>
      <c r="F16" s="3" t="s">
        <v>14</v>
      </c>
      <c r="G16" s="4" t="s">
        <v>62</v>
      </c>
      <c r="H16" s="4" t="s">
        <v>63</v>
      </c>
      <c r="I16" s="3" t="s">
        <v>62</v>
      </c>
      <c r="J16" s="4"/>
    </row>
    <row r="17" customFormat="false" ht="30.55" hidden="false" customHeight="false" outlineLevel="0" collapsed="false">
      <c r="A17" s="2" t="s">
        <v>10</v>
      </c>
      <c r="B17" s="3" t="s">
        <v>11</v>
      </c>
      <c r="C17" s="3" t="s">
        <v>26</v>
      </c>
      <c r="D17" s="3" t="n">
        <v>18</v>
      </c>
      <c r="E17" s="3" t="s">
        <v>64</v>
      </c>
      <c r="F17" s="3" t="s">
        <v>14</v>
      </c>
      <c r="G17" s="4" t="s">
        <v>65</v>
      </c>
      <c r="H17" s="4" t="s">
        <v>66</v>
      </c>
      <c r="I17" s="3" t="s">
        <v>67</v>
      </c>
      <c r="J17" s="4"/>
    </row>
    <row r="18" customFormat="false" ht="20.85" hidden="false" customHeight="false" outlineLevel="0" collapsed="false">
      <c r="A18" s="2" t="s">
        <v>10</v>
      </c>
      <c r="B18" s="3" t="s">
        <v>11</v>
      </c>
      <c r="C18" s="3" t="s">
        <v>26</v>
      </c>
      <c r="D18" s="3" t="n">
        <v>23</v>
      </c>
      <c r="E18" s="3" t="s">
        <v>68</v>
      </c>
      <c r="F18" s="3" t="s">
        <v>14</v>
      </c>
      <c r="G18" s="4" t="s">
        <v>69</v>
      </c>
      <c r="H18" s="4" t="s">
        <v>70</v>
      </c>
      <c r="I18" s="3" t="s">
        <v>71</v>
      </c>
      <c r="J18" s="4"/>
    </row>
    <row r="19" customFormat="false" ht="30.55" hidden="false" customHeight="false" outlineLevel="0" collapsed="false">
      <c r="A19" s="2" t="s">
        <v>10</v>
      </c>
      <c r="B19" s="3" t="s">
        <v>11</v>
      </c>
      <c r="C19" s="3" t="s">
        <v>26</v>
      </c>
      <c r="D19" s="3" t="n">
        <v>25</v>
      </c>
      <c r="E19" s="3" t="s">
        <v>72</v>
      </c>
      <c r="F19" s="3" t="s">
        <v>14</v>
      </c>
      <c r="G19" s="4" t="s">
        <v>73</v>
      </c>
      <c r="H19" s="4" t="s">
        <v>74</v>
      </c>
      <c r="I19" s="3" t="s">
        <v>73</v>
      </c>
      <c r="J19" s="4"/>
    </row>
    <row r="20" customFormat="false" ht="20.85" hidden="false" customHeight="false" outlineLevel="0" collapsed="false">
      <c r="A20" s="2" t="s">
        <v>10</v>
      </c>
      <c r="B20" s="3" t="s">
        <v>11</v>
      </c>
      <c r="C20" s="3" t="s">
        <v>26</v>
      </c>
      <c r="D20" s="3" t="n">
        <v>25</v>
      </c>
      <c r="E20" s="3" t="s">
        <v>75</v>
      </c>
      <c r="F20" s="3" t="s">
        <v>14</v>
      </c>
      <c r="G20" s="4" t="s">
        <v>76</v>
      </c>
      <c r="H20" s="4" t="s">
        <v>77</v>
      </c>
      <c r="I20" s="3" t="s">
        <v>78</v>
      </c>
      <c r="J20" s="4"/>
    </row>
    <row r="21" customFormat="false" ht="20.85" hidden="false" customHeight="false" outlineLevel="0" collapsed="false">
      <c r="A21" s="2" t="s">
        <v>10</v>
      </c>
      <c r="B21" s="3" t="s">
        <v>11</v>
      </c>
      <c r="C21" s="3" t="s">
        <v>26</v>
      </c>
      <c r="D21" s="3" t="n">
        <v>25</v>
      </c>
      <c r="E21" s="3" t="s">
        <v>79</v>
      </c>
      <c r="F21" s="3" t="s">
        <v>80</v>
      </c>
      <c r="G21" s="4" t="s">
        <v>81</v>
      </c>
      <c r="H21" s="4" t="s">
        <v>82</v>
      </c>
      <c r="I21" s="3" t="s">
        <v>83</v>
      </c>
      <c r="J21" s="4" t="s">
        <v>84</v>
      </c>
    </row>
    <row r="22" customFormat="false" ht="30.55" hidden="false" customHeight="false" outlineLevel="0" collapsed="false">
      <c r="A22" s="2" t="s">
        <v>10</v>
      </c>
      <c r="B22" s="3" t="s">
        <v>11</v>
      </c>
      <c r="C22" s="3" t="s">
        <v>26</v>
      </c>
      <c r="D22" s="3" t="n">
        <v>25</v>
      </c>
      <c r="E22" s="3" t="s">
        <v>85</v>
      </c>
      <c r="F22" s="3" t="s">
        <v>22</v>
      </c>
      <c r="G22" s="4" t="s">
        <v>86</v>
      </c>
      <c r="H22" s="4" t="s">
        <v>87</v>
      </c>
      <c r="I22" s="3"/>
      <c r="J22" s="4" t="s">
        <v>88</v>
      </c>
    </row>
    <row r="23" customFormat="false" ht="30.55" hidden="false" customHeight="false" outlineLevel="0" collapsed="false">
      <c r="A23" s="2" t="s">
        <v>10</v>
      </c>
      <c r="B23" s="3" t="s">
        <v>11</v>
      </c>
      <c r="C23" s="3" t="s">
        <v>26</v>
      </c>
      <c r="D23" s="3" t="n">
        <v>26</v>
      </c>
      <c r="E23" s="3" t="s">
        <v>72</v>
      </c>
      <c r="F23" s="3" t="s">
        <v>14</v>
      </c>
      <c r="G23" s="4" t="s">
        <v>89</v>
      </c>
      <c r="H23" s="4" t="s">
        <v>74</v>
      </c>
      <c r="I23" s="3" t="s">
        <v>90</v>
      </c>
      <c r="J23" s="4" t="s">
        <v>91</v>
      </c>
    </row>
    <row r="24" customFormat="false" ht="20.85" hidden="false" customHeight="false" outlineLevel="0" collapsed="false">
      <c r="A24" s="2" t="s">
        <v>10</v>
      </c>
      <c r="B24" s="3" t="s">
        <v>11</v>
      </c>
      <c r="C24" s="3" t="s">
        <v>26</v>
      </c>
      <c r="D24" s="3" t="n">
        <v>26</v>
      </c>
      <c r="E24" s="3" t="s">
        <v>92</v>
      </c>
      <c r="F24" s="3" t="s">
        <v>14</v>
      </c>
      <c r="G24" s="4" t="s">
        <v>93</v>
      </c>
      <c r="H24" s="4" t="s">
        <v>94</v>
      </c>
      <c r="I24" s="3" t="s">
        <v>95</v>
      </c>
      <c r="J24" s="4"/>
    </row>
    <row r="25" customFormat="false" ht="30.55" hidden="false" customHeight="false" outlineLevel="0" collapsed="false">
      <c r="A25" s="2" t="s">
        <v>10</v>
      </c>
      <c r="B25" s="3" t="s">
        <v>11</v>
      </c>
      <c r="C25" s="3" t="s">
        <v>26</v>
      </c>
      <c r="D25" s="3" t="n">
        <v>26</v>
      </c>
      <c r="E25" s="3" t="s">
        <v>96</v>
      </c>
      <c r="F25" s="3" t="s">
        <v>14</v>
      </c>
      <c r="G25" s="4" t="s">
        <v>97</v>
      </c>
      <c r="H25" s="4" t="s">
        <v>98</v>
      </c>
      <c r="I25" s="3" t="s">
        <v>99</v>
      </c>
      <c r="J25" s="4"/>
    </row>
    <row r="26" customFormat="false" ht="30.55" hidden="false" customHeight="false" outlineLevel="0" collapsed="false">
      <c r="A26" s="2" t="s">
        <v>10</v>
      </c>
      <c r="B26" s="3" t="s">
        <v>11</v>
      </c>
      <c r="C26" s="3" t="s">
        <v>26</v>
      </c>
      <c r="D26" s="3" t="n">
        <v>26</v>
      </c>
      <c r="E26" s="3" t="s">
        <v>100</v>
      </c>
      <c r="F26" s="3" t="s">
        <v>14</v>
      </c>
      <c r="G26" s="4" t="s">
        <v>101</v>
      </c>
      <c r="H26" s="4" t="s">
        <v>102</v>
      </c>
      <c r="I26" s="3" t="s">
        <v>103</v>
      </c>
      <c r="J26" s="4"/>
    </row>
    <row r="27" customFormat="false" ht="30.55" hidden="false" customHeight="false" outlineLevel="0" collapsed="false">
      <c r="A27" s="2" t="s">
        <v>10</v>
      </c>
      <c r="B27" s="3" t="s">
        <v>11</v>
      </c>
      <c r="C27" s="3" t="s">
        <v>104</v>
      </c>
      <c r="D27" s="3" t="n">
        <v>8</v>
      </c>
      <c r="E27" s="3" t="s">
        <v>105</v>
      </c>
      <c r="F27" s="3" t="s">
        <v>14</v>
      </c>
      <c r="G27" s="4" t="s">
        <v>106</v>
      </c>
      <c r="H27" s="4" t="s">
        <v>107</v>
      </c>
      <c r="I27" s="3" t="s">
        <v>108</v>
      </c>
      <c r="J27" s="4" t="s">
        <v>109</v>
      </c>
    </row>
    <row r="28" customFormat="false" ht="20.85" hidden="false" customHeight="false" outlineLevel="0" collapsed="false">
      <c r="A28" s="5" t="s">
        <v>110</v>
      </c>
      <c r="B28" s="3" t="s">
        <v>111</v>
      </c>
      <c r="C28" s="3" t="s">
        <v>12</v>
      </c>
      <c r="D28" s="3" t="n">
        <v>14</v>
      </c>
      <c r="E28" s="3" t="s">
        <v>112</v>
      </c>
      <c r="F28" s="3" t="s">
        <v>14</v>
      </c>
      <c r="G28" s="4" t="s">
        <v>113</v>
      </c>
      <c r="H28" s="4" t="s">
        <v>114</v>
      </c>
      <c r="I28" s="3" t="s">
        <v>115</v>
      </c>
      <c r="J28" s="4"/>
    </row>
    <row r="29" customFormat="false" ht="20.85" hidden="false" customHeight="false" outlineLevel="0" collapsed="false">
      <c r="A29" s="5" t="s">
        <v>110</v>
      </c>
      <c r="B29" s="3" t="s">
        <v>111</v>
      </c>
      <c r="C29" s="3" t="s">
        <v>12</v>
      </c>
      <c r="D29" s="3" t="n">
        <v>44</v>
      </c>
      <c r="E29" s="3" t="s">
        <v>116</v>
      </c>
      <c r="F29" s="3" t="s">
        <v>80</v>
      </c>
      <c r="G29" s="4" t="s">
        <v>117</v>
      </c>
      <c r="H29" s="4" t="s">
        <v>118</v>
      </c>
      <c r="I29" s="3" t="s">
        <v>119</v>
      </c>
      <c r="J29" s="4" t="s">
        <v>120</v>
      </c>
    </row>
    <row r="30" customFormat="false" ht="30.55" hidden="false" customHeight="false" outlineLevel="0" collapsed="false">
      <c r="A30" s="5" t="s">
        <v>110</v>
      </c>
      <c r="B30" s="3" t="s">
        <v>11</v>
      </c>
      <c r="C30" s="3" t="s">
        <v>12</v>
      </c>
      <c r="D30" s="3" t="n">
        <v>67</v>
      </c>
      <c r="E30" s="3" t="s">
        <v>21</v>
      </c>
      <c r="F30" s="3" t="s">
        <v>22</v>
      </c>
      <c r="G30" s="4" t="s">
        <v>121</v>
      </c>
      <c r="H30" s="4" t="s">
        <v>24</v>
      </c>
      <c r="I30" s="3"/>
      <c r="J30" s="4" t="s">
        <v>122</v>
      </c>
    </row>
    <row r="31" customFormat="false" ht="20.85" hidden="false" customHeight="false" outlineLevel="0" collapsed="false">
      <c r="A31" s="5" t="s">
        <v>110</v>
      </c>
      <c r="B31" s="3" t="s">
        <v>111</v>
      </c>
      <c r="C31" s="3" t="s">
        <v>12</v>
      </c>
      <c r="D31" s="3" t="n">
        <v>78</v>
      </c>
      <c r="E31" s="3" t="s">
        <v>123</v>
      </c>
      <c r="F31" s="3" t="s">
        <v>80</v>
      </c>
      <c r="G31" s="4" t="s">
        <v>124</v>
      </c>
      <c r="H31" s="4" t="s">
        <v>125</v>
      </c>
      <c r="I31" s="3" t="s">
        <v>126</v>
      </c>
      <c r="J31" s="4" t="s">
        <v>127</v>
      </c>
    </row>
    <row r="32" customFormat="false" ht="20.85" hidden="false" customHeight="false" outlineLevel="0" collapsed="false">
      <c r="A32" s="5" t="s">
        <v>110</v>
      </c>
      <c r="B32" s="3" t="s">
        <v>111</v>
      </c>
      <c r="C32" s="3" t="s">
        <v>26</v>
      </c>
      <c r="D32" s="3" t="n">
        <v>1</v>
      </c>
      <c r="E32" s="3" t="s">
        <v>128</v>
      </c>
      <c r="F32" s="3" t="s">
        <v>14</v>
      </c>
      <c r="G32" s="4" t="s">
        <v>129</v>
      </c>
      <c r="H32" s="4" t="s">
        <v>130</v>
      </c>
      <c r="I32" s="3" t="s">
        <v>131</v>
      </c>
      <c r="J32" s="4"/>
    </row>
    <row r="33" customFormat="false" ht="20.85" hidden="false" customHeight="false" outlineLevel="0" collapsed="false">
      <c r="A33" s="5" t="s">
        <v>110</v>
      </c>
      <c r="B33" s="3" t="s">
        <v>111</v>
      </c>
      <c r="C33" s="3" t="s">
        <v>26</v>
      </c>
      <c r="D33" s="3" t="n">
        <v>1</v>
      </c>
      <c r="E33" s="3" t="s">
        <v>132</v>
      </c>
      <c r="F33" s="3" t="s">
        <v>14</v>
      </c>
      <c r="G33" s="4" t="s">
        <v>133</v>
      </c>
      <c r="H33" s="4" t="s">
        <v>134</v>
      </c>
      <c r="I33" s="3" t="s">
        <v>135</v>
      </c>
      <c r="J33" s="4"/>
    </row>
    <row r="34" customFormat="false" ht="20.85" hidden="false" customHeight="false" outlineLevel="0" collapsed="false">
      <c r="A34" s="5" t="s">
        <v>110</v>
      </c>
      <c r="B34" s="3" t="s">
        <v>111</v>
      </c>
      <c r="C34" s="3" t="s">
        <v>26</v>
      </c>
      <c r="D34" s="3" t="n">
        <v>1</v>
      </c>
      <c r="E34" s="3" t="s">
        <v>136</v>
      </c>
      <c r="F34" s="3" t="s">
        <v>14</v>
      </c>
      <c r="G34" s="4" t="s">
        <v>137</v>
      </c>
      <c r="H34" s="4" t="s">
        <v>138</v>
      </c>
      <c r="I34" s="3" t="s">
        <v>139</v>
      </c>
      <c r="J34" s="4"/>
    </row>
    <row r="35" customFormat="false" ht="30.55" hidden="false" customHeight="false" outlineLevel="0" collapsed="false">
      <c r="A35" s="5" t="s">
        <v>110</v>
      </c>
      <c r="B35" s="3" t="s">
        <v>111</v>
      </c>
      <c r="C35" s="3" t="s">
        <v>26</v>
      </c>
      <c r="D35" s="3" t="n">
        <v>1</v>
      </c>
      <c r="E35" s="3" t="s">
        <v>140</v>
      </c>
      <c r="F35" s="3" t="s">
        <v>80</v>
      </c>
      <c r="G35" s="4" t="s">
        <v>141</v>
      </c>
      <c r="H35" s="4" t="s">
        <v>142</v>
      </c>
      <c r="I35" s="3" t="s">
        <v>143</v>
      </c>
      <c r="J35" s="4" t="s">
        <v>144</v>
      </c>
    </row>
    <row r="36" customFormat="false" ht="20.85" hidden="false" customHeight="false" outlineLevel="0" collapsed="false">
      <c r="A36" s="5" t="s">
        <v>110</v>
      </c>
      <c r="B36" s="3" t="s">
        <v>111</v>
      </c>
      <c r="C36" s="3" t="s">
        <v>26</v>
      </c>
      <c r="D36" s="3" t="n">
        <v>1</v>
      </c>
      <c r="E36" s="3" t="s">
        <v>145</v>
      </c>
      <c r="F36" s="3" t="s">
        <v>80</v>
      </c>
      <c r="G36" s="4" t="s">
        <v>146</v>
      </c>
      <c r="H36" s="4" t="s">
        <v>147</v>
      </c>
      <c r="I36" s="3" t="s">
        <v>148</v>
      </c>
      <c r="J36" s="4" t="s">
        <v>149</v>
      </c>
    </row>
    <row r="37" customFormat="false" ht="20.85" hidden="false" customHeight="false" outlineLevel="0" collapsed="false">
      <c r="A37" s="5" t="s">
        <v>110</v>
      </c>
      <c r="B37" s="3" t="s">
        <v>111</v>
      </c>
      <c r="C37" s="3" t="s">
        <v>26</v>
      </c>
      <c r="D37" s="3" t="n">
        <v>1</v>
      </c>
      <c r="E37" s="3" t="s">
        <v>150</v>
      </c>
      <c r="F37" s="3" t="s">
        <v>80</v>
      </c>
      <c r="G37" s="4" t="s">
        <v>151</v>
      </c>
      <c r="H37" s="4" t="s">
        <v>152</v>
      </c>
      <c r="I37" s="3" t="s">
        <v>153</v>
      </c>
      <c r="J37" s="4" t="s">
        <v>154</v>
      </c>
    </row>
    <row r="38" customFormat="false" ht="20.85" hidden="false" customHeight="false" outlineLevel="0" collapsed="false">
      <c r="A38" s="5" t="s">
        <v>110</v>
      </c>
      <c r="B38" s="3" t="s">
        <v>111</v>
      </c>
      <c r="C38" s="3" t="s">
        <v>26</v>
      </c>
      <c r="D38" s="3" t="n">
        <v>9</v>
      </c>
      <c r="E38" s="3" t="s">
        <v>155</v>
      </c>
      <c r="F38" s="3" t="s">
        <v>14</v>
      </c>
      <c r="G38" s="4" t="s">
        <v>156</v>
      </c>
      <c r="H38" s="4" t="s">
        <v>157</v>
      </c>
      <c r="I38" s="3" t="s">
        <v>156</v>
      </c>
      <c r="J38" s="4"/>
    </row>
    <row r="39" customFormat="false" ht="20.85" hidden="false" customHeight="false" outlineLevel="0" collapsed="false">
      <c r="A39" s="5" t="s">
        <v>110</v>
      </c>
      <c r="B39" s="3" t="s">
        <v>111</v>
      </c>
      <c r="C39" s="3" t="s">
        <v>26</v>
      </c>
      <c r="D39" s="3" t="n">
        <v>11</v>
      </c>
      <c r="E39" s="3" t="s">
        <v>158</v>
      </c>
      <c r="F39" s="3" t="s">
        <v>14</v>
      </c>
      <c r="G39" s="4" t="s">
        <v>159</v>
      </c>
      <c r="H39" s="4" t="s">
        <v>160</v>
      </c>
      <c r="I39" s="3" t="s">
        <v>161</v>
      </c>
      <c r="J39" s="4"/>
    </row>
    <row r="40" customFormat="false" ht="20.85" hidden="false" customHeight="false" outlineLevel="0" collapsed="false">
      <c r="A40" s="5" t="s">
        <v>110</v>
      </c>
      <c r="B40" s="3" t="s">
        <v>111</v>
      </c>
      <c r="C40" s="3" t="s">
        <v>26</v>
      </c>
      <c r="D40" s="3" t="n">
        <v>18</v>
      </c>
      <c r="E40" s="3" t="s">
        <v>162</v>
      </c>
      <c r="F40" s="3" t="s">
        <v>80</v>
      </c>
      <c r="G40" s="4" t="s">
        <v>163</v>
      </c>
      <c r="H40" s="4" t="s">
        <v>164</v>
      </c>
      <c r="I40" s="3" t="s">
        <v>163</v>
      </c>
      <c r="J40" s="4" t="s">
        <v>165</v>
      </c>
    </row>
    <row r="41" customFormat="false" ht="20.85" hidden="false" customHeight="false" outlineLevel="0" collapsed="false">
      <c r="A41" s="5" t="s">
        <v>110</v>
      </c>
      <c r="B41" s="3" t="s">
        <v>11</v>
      </c>
      <c r="C41" s="3" t="s">
        <v>26</v>
      </c>
      <c r="D41" s="3" t="n">
        <v>18</v>
      </c>
      <c r="E41" s="3" t="s">
        <v>166</v>
      </c>
      <c r="F41" s="3" t="s">
        <v>22</v>
      </c>
      <c r="G41" s="4" t="s">
        <v>167</v>
      </c>
      <c r="H41" s="4" t="s">
        <v>168</v>
      </c>
      <c r="I41" s="3"/>
      <c r="J41" s="4" t="s">
        <v>169</v>
      </c>
    </row>
    <row r="42" customFormat="false" ht="20.85" hidden="false" customHeight="false" outlineLevel="0" collapsed="false">
      <c r="A42" s="5" t="s">
        <v>110</v>
      </c>
      <c r="B42" s="3" t="s">
        <v>11</v>
      </c>
      <c r="C42" s="3" t="s">
        <v>26</v>
      </c>
      <c r="D42" s="3" t="n">
        <v>26</v>
      </c>
      <c r="E42" s="3" t="s">
        <v>170</v>
      </c>
      <c r="F42" s="3" t="s">
        <v>14</v>
      </c>
      <c r="G42" s="4" t="s">
        <v>171</v>
      </c>
      <c r="H42" s="4" t="s">
        <v>172</v>
      </c>
      <c r="I42" s="3" t="s">
        <v>173</v>
      </c>
      <c r="J42" s="4" t="s">
        <v>174</v>
      </c>
    </row>
    <row r="43" customFormat="false" ht="20.85" hidden="false" customHeight="false" outlineLevel="0" collapsed="false">
      <c r="A43" s="5" t="s">
        <v>110</v>
      </c>
      <c r="B43" s="3" t="s">
        <v>111</v>
      </c>
      <c r="C43" s="3" t="s">
        <v>26</v>
      </c>
      <c r="D43" s="3" t="n">
        <v>26</v>
      </c>
      <c r="E43" s="3" t="s">
        <v>175</v>
      </c>
      <c r="F43" s="3" t="s">
        <v>14</v>
      </c>
      <c r="G43" s="4" t="s">
        <v>176</v>
      </c>
      <c r="H43" s="4" t="s">
        <v>177</v>
      </c>
      <c r="I43" s="3" t="s">
        <v>178</v>
      </c>
      <c r="J43" s="4"/>
    </row>
    <row r="44" customFormat="false" ht="30.55" hidden="false" customHeight="false" outlineLevel="0" collapsed="false">
      <c r="A44" s="5" t="s">
        <v>110</v>
      </c>
      <c r="B44" s="3" t="s">
        <v>111</v>
      </c>
      <c r="C44" s="3" t="s">
        <v>26</v>
      </c>
      <c r="D44" s="3" t="n">
        <v>26</v>
      </c>
      <c r="E44" s="3" t="s">
        <v>179</v>
      </c>
      <c r="F44" s="3" t="s">
        <v>80</v>
      </c>
      <c r="G44" s="4" t="s">
        <v>180</v>
      </c>
      <c r="H44" s="4" t="s">
        <v>181</v>
      </c>
      <c r="I44" s="3" t="s">
        <v>180</v>
      </c>
      <c r="J44" s="4" t="s">
        <v>182</v>
      </c>
    </row>
    <row r="45" customFormat="false" ht="30.55" hidden="false" customHeight="false" outlineLevel="0" collapsed="false">
      <c r="A45" s="6" t="s">
        <v>183</v>
      </c>
      <c r="B45" s="3" t="s">
        <v>184</v>
      </c>
      <c r="C45" s="3" t="s">
        <v>12</v>
      </c>
      <c r="D45" s="3" t="n">
        <v>22</v>
      </c>
      <c r="E45" s="3" t="s">
        <v>185</v>
      </c>
      <c r="F45" s="3" t="s">
        <v>186</v>
      </c>
      <c r="G45" s="4" t="s">
        <v>187</v>
      </c>
      <c r="H45" s="4" t="s">
        <v>188</v>
      </c>
      <c r="I45" s="3" t="s">
        <v>187</v>
      </c>
      <c r="J45" s="4" t="s">
        <v>189</v>
      </c>
    </row>
    <row r="46" customFormat="false" ht="30.55" hidden="false" customHeight="false" outlineLevel="0" collapsed="false">
      <c r="A46" s="6" t="s">
        <v>183</v>
      </c>
      <c r="B46" s="3" t="s">
        <v>184</v>
      </c>
      <c r="C46" s="3" t="s">
        <v>12</v>
      </c>
      <c r="D46" s="3" t="n">
        <v>55</v>
      </c>
      <c r="E46" s="3" t="s">
        <v>190</v>
      </c>
      <c r="F46" s="3" t="s">
        <v>186</v>
      </c>
      <c r="G46" s="4" t="s">
        <v>191</v>
      </c>
      <c r="H46" s="4" t="s">
        <v>192</v>
      </c>
      <c r="I46" s="3" t="s">
        <v>191</v>
      </c>
      <c r="J46" s="4" t="s">
        <v>193</v>
      </c>
    </row>
    <row r="47" customFormat="false" ht="20.85" hidden="false" customHeight="false" outlineLevel="0" collapsed="false">
      <c r="A47" s="6" t="s">
        <v>183</v>
      </c>
      <c r="B47" s="3" t="s">
        <v>184</v>
      </c>
      <c r="C47" s="3" t="s">
        <v>26</v>
      </c>
      <c r="D47" s="3" t="n">
        <v>1</v>
      </c>
      <c r="E47" s="3" t="s">
        <v>194</v>
      </c>
      <c r="F47" s="3" t="s">
        <v>80</v>
      </c>
      <c r="G47" s="4" t="s">
        <v>195</v>
      </c>
      <c r="H47" s="4" t="s">
        <v>196</v>
      </c>
      <c r="I47" s="3" t="s">
        <v>197</v>
      </c>
      <c r="J47" s="4" t="s">
        <v>198</v>
      </c>
    </row>
    <row r="48" customFormat="false" ht="20.85" hidden="false" customHeight="false" outlineLevel="0" collapsed="false">
      <c r="A48" s="6" t="s">
        <v>183</v>
      </c>
      <c r="B48" s="3" t="s">
        <v>184</v>
      </c>
      <c r="C48" s="3" t="s">
        <v>26</v>
      </c>
      <c r="D48" s="3" t="n">
        <v>1</v>
      </c>
      <c r="E48" s="3" t="s">
        <v>199</v>
      </c>
      <c r="F48" s="3" t="s">
        <v>80</v>
      </c>
      <c r="G48" s="4" t="s">
        <v>200</v>
      </c>
      <c r="H48" s="4" t="s">
        <v>201</v>
      </c>
      <c r="I48" s="3" t="s">
        <v>202</v>
      </c>
      <c r="J48" s="4" t="s">
        <v>203</v>
      </c>
    </row>
    <row r="49" customFormat="false" ht="30.55" hidden="false" customHeight="false" outlineLevel="0" collapsed="false">
      <c r="A49" s="6" t="s">
        <v>183</v>
      </c>
      <c r="B49" s="3" t="s">
        <v>184</v>
      </c>
      <c r="C49" s="3" t="s">
        <v>26</v>
      </c>
      <c r="D49" s="3" t="n">
        <v>18</v>
      </c>
      <c r="E49" s="3" t="s">
        <v>204</v>
      </c>
      <c r="F49" s="3" t="s">
        <v>80</v>
      </c>
      <c r="G49" s="4" t="s">
        <v>205</v>
      </c>
      <c r="H49" s="4" t="s">
        <v>206</v>
      </c>
      <c r="I49" s="3" t="s">
        <v>205</v>
      </c>
      <c r="J49" s="4" t="s">
        <v>207</v>
      </c>
    </row>
    <row r="50" customFormat="false" ht="15" hidden="false" customHeight="false" outlineLevel="0" collapsed="false">
      <c r="A50" s="6" t="s">
        <v>183</v>
      </c>
      <c r="B50" s="3" t="s">
        <v>184</v>
      </c>
      <c r="C50" s="3" t="s">
        <v>26</v>
      </c>
      <c r="D50" s="3" t="n">
        <v>21</v>
      </c>
      <c r="E50" s="3" t="s">
        <v>208</v>
      </c>
      <c r="F50" s="3" t="s">
        <v>80</v>
      </c>
      <c r="G50" s="4" t="s">
        <v>209</v>
      </c>
      <c r="H50" s="4" t="s">
        <v>210</v>
      </c>
      <c r="I50" s="3" t="s">
        <v>209</v>
      </c>
      <c r="J50" s="4" t="s">
        <v>211</v>
      </c>
    </row>
    <row r="51" customFormat="false" ht="20.85" hidden="false" customHeight="false" outlineLevel="0" collapsed="false">
      <c r="A51" s="6" t="s">
        <v>183</v>
      </c>
      <c r="B51" s="3" t="s">
        <v>184</v>
      </c>
      <c r="C51" s="3" t="s">
        <v>26</v>
      </c>
      <c r="D51" s="3" t="n">
        <v>25</v>
      </c>
      <c r="E51" s="3" t="s">
        <v>212</v>
      </c>
      <c r="F51" s="3" t="s">
        <v>80</v>
      </c>
      <c r="G51" s="4" t="s">
        <v>213</v>
      </c>
      <c r="H51" s="4" t="s">
        <v>214</v>
      </c>
      <c r="I51" s="3" t="s">
        <v>215</v>
      </c>
      <c r="J51" s="4" t="s">
        <v>216</v>
      </c>
    </row>
    <row r="52" customFormat="false" ht="20.85" hidden="false" customHeight="false" outlineLevel="0" collapsed="false">
      <c r="A52" s="6" t="s">
        <v>183</v>
      </c>
      <c r="B52" s="3" t="s">
        <v>184</v>
      </c>
      <c r="C52" s="3" t="s">
        <v>26</v>
      </c>
      <c r="D52" s="3" t="n">
        <v>25</v>
      </c>
      <c r="E52" s="3" t="s">
        <v>217</v>
      </c>
      <c r="F52" s="3" t="s">
        <v>80</v>
      </c>
      <c r="G52" s="4" t="s">
        <v>218</v>
      </c>
      <c r="H52" s="4" t="s">
        <v>219</v>
      </c>
      <c r="I52" s="3" t="s">
        <v>220</v>
      </c>
      <c r="J52" s="4" t="s">
        <v>221</v>
      </c>
    </row>
    <row r="53" customFormat="false" ht="20.85" hidden="false" customHeight="false" outlineLevel="0" collapsed="false">
      <c r="A53" s="6" t="s">
        <v>183</v>
      </c>
      <c r="B53" s="3" t="s">
        <v>184</v>
      </c>
      <c r="C53" s="3" t="s">
        <v>26</v>
      </c>
      <c r="D53" s="3" t="n">
        <v>25</v>
      </c>
      <c r="E53" s="3" t="s">
        <v>222</v>
      </c>
      <c r="F53" s="3" t="s">
        <v>186</v>
      </c>
      <c r="G53" s="4" t="s">
        <v>223</v>
      </c>
      <c r="H53" s="4" t="s">
        <v>224</v>
      </c>
      <c r="I53" s="3" t="s">
        <v>223</v>
      </c>
      <c r="J53" s="4" t="s">
        <v>225</v>
      </c>
    </row>
    <row r="54" customFormat="false" ht="20.85" hidden="false" customHeight="false" outlineLevel="0" collapsed="false">
      <c r="A54" s="6" t="s">
        <v>183</v>
      </c>
      <c r="B54" s="3" t="s">
        <v>11</v>
      </c>
      <c r="C54" s="3" t="s">
        <v>26</v>
      </c>
      <c r="D54" s="3" t="n">
        <v>25</v>
      </c>
      <c r="E54" s="3" t="s">
        <v>226</v>
      </c>
      <c r="F54" s="3" t="s">
        <v>22</v>
      </c>
      <c r="G54" s="4" t="s">
        <v>227</v>
      </c>
      <c r="H54" s="4" t="s">
        <v>228</v>
      </c>
      <c r="I54" s="3"/>
      <c r="J54" s="4" t="s">
        <v>229</v>
      </c>
    </row>
  </sheetData>
  <autoFilter ref="A1:J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3" min="3" style="0" width="12"/>
    <col collapsed="false" customWidth="true" hidden="false" outlineLevel="0" max="4" min="4" style="0" width="5"/>
    <col collapsed="false" customWidth="true" hidden="false" outlineLevel="0" max="5" min="5" style="0" width="18"/>
    <col collapsed="false" customWidth="true" hidden="false" outlineLevel="0" max="6" min="6" style="0" width="46"/>
    <col collapsed="false" customWidth="true" hidden="false" outlineLevel="0" max="7" min="7" style="0" width="66"/>
  </cols>
  <sheetData>
    <row r="1" customFormat="false" ht="27.75" hidden="false" customHeight="true" outlineLevel="0" collapsed="false">
      <c r="A1" s="1" t="s">
        <v>0</v>
      </c>
      <c r="B1" s="1" t="s">
        <v>1</v>
      </c>
      <c r="C1" s="1" t="s">
        <v>2</v>
      </c>
      <c r="D1" s="1" t="s">
        <v>3</v>
      </c>
      <c r="E1" s="1" t="s">
        <v>4</v>
      </c>
      <c r="F1" s="1" t="s">
        <v>7</v>
      </c>
      <c r="G1" s="1" t="s">
        <v>230</v>
      </c>
    </row>
    <row r="2" customFormat="false" ht="20.85" hidden="false" customHeight="false" outlineLevel="0" collapsed="false">
      <c r="A2" s="7" t="s">
        <v>231</v>
      </c>
      <c r="B2" s="3" t="s">
        <v>11</v>
      </c>
      <c r="C2" s="3" t="s">
        <v>12</v>
      </c>
      <c r="D2" s="3" t="n">
        <v>3</v>
      </c>
      <c r="E2" s="3" t="s">
        <v>232</v>
      </c>
      <c r="F2" s="4" t="s">
        <v>233</v>
      </c>
      <c r="G2" s="4" t="s">
        <v>234</v>
      </c>
    </row>
    <row r="3" customFormat="false" ht="30.55" hidden="false" customHeight="false" outlineLevel="0" collapsed="false">
      <c r="A3" s="7" t="s">
        <v>231</v>
      </c>
      <c r="B3" s="3" t="s">
        <v>11</v>
      </c>
      <c r="C3" s="3" t="s">
        <v>12</v>
      </c>
      <c r="D3" s="3" t="n">
        <v>6</v>
      </c>
      <c r="E3" s="3" t="s">
        <v>235</v>
      </c>
      <c r="F3" s="4" t="s">
        <v>236</v>
      </c>
      <c r="G3" s="4" t="s">
        <v>237</v>
      </c>
    </row>
    <row r="4" customFormat="false" ht="20.85" hidden="false" customHeight="false" outlineLevel="0" collapsed="false">
      <c r="A4" s="7" t="s">
        <v>231</v>
      </c>
      <c r="B4" s="3" t="s">
        <v>11</v>
      </c>
      <c r="C4" s="3" t="s">
        <v>12</v>
      </c>
      <c r="D4" s="3" t="n">
        <v>8</v>
      </c>
      <c r="E4" s="3" t="s">
        <v>232</v>
      </c>
      <c r="F4" s="4" t="s">
        <v>233</v>
      </c>
      <c r="G4" s="4" t="s">
        <v>238</v>
      </c>
    </row>
    <row r="5" customFormat="false" ht="20.85" hidden="false" customHeight="false" outlineLevel="0" collapsed="false">
      <c r="A5" s="7" t="s">
        <v>231</v>
      </c>
      <c r="B5" s="3" t="s">
        <v>11</v>
      </c>
      <c r="C5" s="3" t="s">
        <v>12</v>
      </c>
      <c r="D5" s="3" t="n">
        <v>9</v>
      </c>
      <c r="E5" s="3" t="s">
        <v>232</v>
      </c>
      <c r="F5" s="4" t="s">
        <v>233</v>
      </c>
      <c r="G5" s="4" t="s">
        <v>239</v>
      </c>
    </row>
    <row r="6" customFormat="false" ht="30.55" hidden="false" customHeight="false" outlineLevel="0" collapsed="false">
      <c r="A6" s="7" t="s">
        <v>231</v>
      </c>
      <c r="B6" s="3" t="s">
        <v>11</v>
      </c>
      <c r="C6" s="3" t="s">
        <v>12</v>
      </c>
      <c r="D6" s="3" t="n">
        <v>10</v>
      </c>
      <c r="E6" s="3" t="s">
        <v>240</v>
      </c>
      <c r="F6" s="4" t="s">
        <v>241</v>
      </c>
      <c r="G6" s="4" t="s">
        <v>242</v>
      </c>
    </row>
    <row r="7" customFormat="false" ht="30.55" hidden="false" customHeight="false" outlineLevel="0" collapsed="false">
      <c r="A7" s="7" t="s">
        <v>231</v>
      </c>
      <c r="B7" s="3" t="s">
        <v>11</v>
      </c>
      <c r="C7" s="3" t="s">
        <v>12</v>
      </c>
      <c r="D7" s="3" t="n">
        <v>10</v>
      </c>
      <c r="E7" s="3" t="s">
        <v>243</v>
      </c>
      <c r="F7" s="4" t="s">
        <v>244</v>
      </c>
      <c r="G7" s="4" t="s">
        <v>245</v>
      </c>
    </row>
    <row r="8" customFormat="false" ht="30.55" hidden="false" customHeight="false" outlineLevel="0" collapsed="false">
      <c r="A8" s="7" t="s">
        <v>231</v>
      </c>
      <c r="B8" s="3" t="s">
        <v>11</v>
      </c>
      <c r="C8" s="3" t="s">
        <v>12</v>
      </c>
      <c r="D8" s="3" t="n">
        <v>11</v>
      </c>
      <c r="E8" s="3" t="s">
        <v>232</v>
      </c>
      <c r="F8" s="4" t="s">
        <v>233</v>
      </c>
      <c r="G8" s="4" t="s">
        <v>246</v>
      </c>
    </row>
    <row r="9" customFormat="false" ht="30.55" hidden="false" customHeight="false" outlineLevel="0" collapsed="false">
      <c r="A9" s="7" t="s">
        <v>231</v>
      </c>
      <c r="B9" s="3" t="s">
        <v>11</v>
      </c>
      <c r="C9" s="3" t="s">
        <v>12</v>
      </c>
      <c r="D9" s="3" t="n">
        <v>12</v>
      </c>
      <c r="E9" s="3" t="s">
        <v>232</v>
      </c>
      <c r="F9" s="4" t="s">
        <v>233</v>
      </c>
      <c r="G9" s="4" t="s">
        <v>247</v>
      </c>
    </row>
    <row r="10" customFormat="false" ht="30.55" hidden="false" customHeight="false" outlineLevel="0" collapsed="false">
      <c r="A10" s="7" t="s">
        <v>231</v>
      </c>
      <c r="B10" s="3" t="s">
        <v>11</v>
      </c>
      <c r="C10" s="3" t="s">
        <v>12</v>
      </c>
      <c r="D10" s="3" t="n">
        <v>13</v>
      </c>
      <c r="E10" s="3" t="s">
        <v>248</v>
      </c>
      <c r="F10" s="4" t="s">
        <v>249</v>
      </c>
      <c r="G10" s="4" t="s">
        <v>250</v>
      </c>
    </row>
    <row r="11" customFormat="false" ht="30.55" hidden="false" customHeight="false" outlineLevel="0" collapsed="false">
      <c r="A11" s="7" t="s">
        <v>231</v>
      </c>
      <c r="B11" s="3" t="s">
        <v>11</v>
      </c>
      <c r="C11" s="3" t="s">
        <v>12</v>
      </c>
      <c r="D11" s="3" t="n">
        <v>13</v>
      </c>
      <c r="E11" s="3" t="s">
        <v>232</v>
      </c>
      <c r="F11" s="4" t="s">
        <v>233</v>
      </c>
      <c r="G11" s="4" t="s">
        <v>251</v>
      </c>
    </row>
    <row r="12" customFormat="false" ht="30.55" hidden="false" customHeight="false" outlineLevel="0" collapsed="false">
      <c r="A12" s="7" t="s">
        <v>231</v>
      </c>
      <c r="B12" s="3" t="s">
        <v>11</v>
      </c>
      <c r="C12" s="3" t="s">
        <v>12</v>
      </c>
      <c r="D12" s="3" t="n">
        <v>17</v>
      </c>
      <c r="E12" s="3" t="s">
        <v>232</v>
      </c>
      <c r="F12" s="4" t="s">
        <v>233</v>
      </c>
      <c r="G12" s="4" t="s">
        <v>252</v>
      </c>
    </row>
    <row r="13" customFormat="false" ht="20.85" hidden="false" customHeight="false" outlineLevel="0" collapsed="false">
      <c r="A13" s="7" t="s">
        <v>231</v>
      </c>
      <c r="B13" s="3" t="s">
        <v>11</v>
      </c>
      <c r="C13" s="3" t="s">
        <v>12</v>
      </c>
      <c r="D13" s="3" t="n">
        <v>18</v>
      </c>
      <c r="E13" s="3" t="s">
        <v>253</v>
      </c>
      <c r="F13" s="4" t="s">
        <v>254</v>
      </c>
      <c r="G13" s="4" t="s">
        <v>255</v>
      </c>
    </row>
    <row r="14" customFormat="false" ht="30.55" hidden="false" customHeight="false" outlineLevel="0" collapsed="false">
      <c r="A14" s="7" t="s">
        <v>231</v>
      </c>
      <c r="B14" s="3" t="s">
        <v>11</v>
      </c>
      <c r="C14" s="3" t="s">
        <v>12</v>
      </c>
      <c r="D14" s="3" t="n">
        <v>20</v>
      </c>
      <c r="E14" s="3" t="s">
        <v>256</v>
      </c>
      <c r="F14" s="4" t="s">
        <v>257</v>
      </c>
      <c r="G14" s="4" t="s">
        <v>258</v>
      </c>
    </row>
    <row r="15" customFormat="false" ht="30.55" hidden="false" customHeight="false" outlineLevel="0" collapsed="false">
      <c r="A15" s="7" t="s">
        <v>231</v>
      </c>
      <c r="B15" s="3" t="s">
        <v>11</v>
      </c>
      <c r="C15" s="3" t="s">
        <v>12</v>
      </c>
      <c r="D15" s="3" t="n">
        <v>20</v>
      </c>
      <c r="E15" s="3" t="s">
        <v>259</v>
      </c>
      <c r="F15" s="4" t="s">
        <v>260</v>
      </c>
      <c r="G15" s="4" t="s">
        <v>261</v>
      </c>
    </row>
    <row r="16" customFormat="false" ht="20.85" hidden="false" customHeight="false" outlineLevel="0" collapsed="false">
      <c r="A16" s="7" t="s">
        <v>231</v>
      </c>
      <c r="B16" s="3" t="s">
        <v>11</v>
      </c>
      <c r="C16" s="3" t="s">
        <v>12</v>
      </c>
      <c r="D16" s="3" t="n">
        <v>24</v>
      </c>
      <c r="E16" s="3" t="s">
        <v>262</v>
      </c>
      <c r="F16" s="4" t="s">
        <v>263</v>
      </c>
      <c r="G16" s="4" t="s">
        <v>264</v>
      </c>
    </row>
    <row r="17" customFormat="false" ht="30.55" hidden="false" customHeight="false" outlineLevel="0" collapsed="false">
      <c r="A17" s="7" t="s">
        <v>231</v>
      </c>
      <c r="B17" s="3" t="s">
        <v>11</v>
      </c>
      <c r="C17" s="3" t="s">
        <v>12</v>
      </c>
      <c r="D17" s="3" t="n">
        <v>25</v>
      </c>
      <c r="E17" s="3" t="s">
        <v>265</v>
      </c>
      <c r="F17" s="4" t="s">
        <v>266</v>
      </c>
      <c r="G17" s="4" t="s">
        <v>267</v>
      </c>
    </row>
    <row r="18" customFormat="false" ht="30.55" hidden="false" customHeight="false" outlineLevel="0" collapsed="false">
      <c r="A18" s="7" t="s">
        <v>231</v>
      </c>
      <c r="B18" s="3" t="s">
        <v>11</v>
      </c>
      <c r="C18" s="3" t="s">
        <v>12</v>
      </c>
      <c r="D18" s="3" t="n">
        <v>28</v>
      </c>
      <c r="E18" s="3" t="s">
        <v>268</v>
      </c>
      <c r="F18" s="4" t="s">
        <v>269</v>
      </c>
      <c r="G18" s="4" t="s">
        <v>270</v>
      </c>
    </row>
    <row r="19" customFormat="false" ht="20.85" hidden="false" customHeight="false" outlineLevel="0" collapsed="false">
      <c r="A19" s="7" t="s">
        <v>231</v>
      </c>
      <c r="B19" s="3" t="s">
        <v>11</v>
      </c>
      <c r="C19" s="3" t="s">
        <v>12</v>
      </c>
      <c r="D19" s="3" t="n">
        <v>28</v>
      </c>
      <c r="E19" s="3" t="s">
        <v>271</v>
      </c>
      <c r="F19" s="4" t="s">
        <v>272</v>
      </c>
      <c r="G19" s="4" t="s">
        <v>273</v>
      </c>
    </row>
    <row r="20" customFormat="false" ht="30.55" hidden="false" customHeight="false" outlineLevel="0" collapsed="false">
      <c r="A20" s="7" t="s">
        <v>231</v>
      </c>
      <c r="B20" s="3" t="s">
        <v>11</v>
      </c>
      <c r="C20" s="3" t="s">
        <v>12</v>
      </c>
      <c r="D20" s="3" t="n">
        <v>29</v>
      </c>
      <c r="E20" s="3" t="s">
        <v>232</v>
      </c>
      <c r="F20" s="4" t="s">
        <v>233</v>
      </c>
      <c r="G20" s="4" t="s">
        <v>274</v>
      </c>
    </row>
    <row r="21" customFormat="false" ht="20.85" hidden="false" customHeight="false" outlineLevel="0" collapsed="false">
      <c r="A21" s="7" t="s">
        <v>231</v>
      </c>
      <c r="B21" s="3" t="s">
        <v>11</v>
      </c>
      <c r="C21" s="3" t="s">
        <v>12</v>
      </c>
      <c r="D21" s="3" t="n">
        <v>29</v>
      </c>
      <c r="E21" s="3" t="s">
        <v>275</v>
      </c>
      <c r="F21" s="4" t="s">
        <v>276</v>
      </c>
      <c r="G21" s="4" t="s">
        <v>277</v>
      </c>
    </row>
    <row r="22" customFormat="false" ht="20.85" hidden="false" customHeight="false" outlineLevel="0" collapsed="false">
      <c r="A22" s="7" t="s">
        <v>231</v>
      </c>
      <c r="B22" s="3" t="s">
        <v>11</v>
      </c>
      <c r="C22" s="3" t="s">
        <v>12</v>
      </c>
      <c r="D22" s="3" t="n">
        <v>30</v>
      </c>
      <c r="E22" s="3" t="s">
        <v>232</v>
      </c>
      <c r="F22" s="4" t="s">
        <v>233</v>
      </c>
      <c r="G22" s="4" t="s">
        <v>278</v>
      </c>
    </row>
    <row r="23" customFormat="false" ht="30.55" hidden="false" customHeight="false" outlineLevel="0" collapsed="false">
      <c r="A23" s="7" t="s">
        <v>231</v>
      </c>
      <c r="B23" s="3" t="s">
        <v>11</v>
      </c>
      <c r="C23" s="3" t="s">
        <v>12</v>
      </c>
      <c r="D23" s="3" t="n">
        <v>31</v>
      </c>
      <c r="E23" s="3" t="s">
        <v>232</v>
      </c>
      <c r="F23" s="4" t="s">
        <v>233</v>
      </c>
      <c r="G23" s="4" t="s">
        <v>279</v>
      </c>
    </row>
    <row r="24" customFormat="false" ht="30.55" hidden="false" customHeight="false" outlineLevel="0" collapsed="false">
      <c r="A24" s="7" t="s">
        <v>231</v>
      </c>
      <c r="B24" s="3" t="s">
        <v>11</v>
      </c>
      <c r="C24" s="3" t="s">
        <v>12</v>
      </c>
      <c r="D24" s="3" t="n">
        <v>32</v>
      </c>
      <c r="E24" s="3" t="s">
        <v>243</v>
      </c>
      <c r="F24" s="4" t="s">
        <v>244</v>
      </c>
      <c r="G24" s="4" t="s">
        <v>280</v>
      </c>
    </row>
    <row r="25" customFormat="false" ht="20.85" hidden="false" customHeight="false" outlineLevel="0" collapsed="false">
      <c r="A25" s="7" t="s">
        <v>231</v>
      </c>
      <c r="B25" s="3" t="s">
        <v>11</v>
      </c>
      <c r="C25" s="3" t="s">
        <v>12</v>
      </c>
      <c r="D25" s="3" t="n">
        <v>33</v>
      </c>
      <c r="E25" s="3" t="s">
        <v>243</v>
      </c>
      <c r="F25" s="4" t="s">
        <v>244</v>
      </c>
      <c r="G25" s="4" t="s">
        <v>281</v>
      </c>
    </row>
    <row r="26" customFormat="false" ht="30.55" hidden="false" customHeight="false" outlineLevel="0" collapsed="false">
      <c r="A26" s="7" t="s">
        <v>231</v>
      </c>
      <c r="B26" s="3" t="s">
        <v>11</v>
      </c>
      <c r="C26" s="3" t="s">
        <v>12</v>
      </c>
      <c r="D26" s="3" t="n">
        <v>33</v>
      </c>
      <c r="E26" s="3" t="s">
        <v>282</v>
      </c>
      <c r="F26" s="4" t="s">
        <v>283</v>
      </c>
      <c r="G26" s="4" t="s">
        <v>284</v>
      </c>
    </row>
    <row r="27" customFormat="false" ht="30.55" hidden="false" customHeight="false" outlineLevel="0" collapsed="false">
      <c r="A27" s="7" t="s">
        <v>231</v>
      </c>
      <c r="B27" s="3" t="s">
        <v>11</v>
      </c>
      <c r="C27" s="3" t="s">
        <v>12</v>
      </c>
      <c r="D27" s="3" t="n">
        <v>33</v>
      </c>
      <c r="E27" s="3" t="s">
        <v>285</v>
      </c>
      <c r="F27" s="4" t="s">
        <v>286</v>
      </c>
      <c r="G27" s="4" t="s">
        <v>287</v>
      </c>
    </row>
    <row r="28" customFormat="false" ht="20.85" hidden="false" customHeight="false" outlineLevel="0" collapsed="false">
      <c r="A28" s="7" t="s">
        <v>231</v>
      </c>
      <c r="B28" s="3" t="s">
        <v>11</v>
      </c>
      <c r="C28" s="3" t="s">
        <v>12</v>
      </c>
      <c r="D28" s="3" t="n">
        <v>34</v>
      </c>
      <c r="E28" s="3" t="s">
        <v>243</v>
      </c>
      <c r="F28" s="4" t="s">
        <v>244</v>
      </c>
      <c r="G28" s="4" t="s">
        <v>288</v>
      </c>
    </row>
    <row r="29" customFormat="false" ht="30.55" hidden="false" customHeight="false" outlineLevel="0" collapsed="false">
      <c r="A29" s="7" t="s">
        <v>231</v>
      </c>
      <c r="B29" s="3" t="s">
        <v>11</v>
      </c>
      <c r="C29" s="3" t="s">
        <v>12</v>
      </c>
      <c r="D29" s="3" t="n">
        <v>35</v>
      </c>
      <c r="E29" s="3" t="s">
        <v>243</v>
      </c>
      <c r="F29" s="4" t="s">
        <v>244</v>
      </c>
      <c r="G29" s="4" t="s">
        <v>289</v>
      </c>
    </row>
    <row r="30" customFormat="false" ht="40.25" hidden="false" customHeight="false" outlineLevel="0" collapsed="false">
      <c r="A30" s="7" t="s">
        <v>231</v>
      </c>
      <c r="B30" s="3" t="s">
        <v>11</v>
      </c>
      <c r="C30" s="3" t="s">
        <v>12</v>
      </c>
      <c r="D30" s="3" t="n">
        <v>36</v>
      </c>
      <c r="E30" s="3" t="s">
        <v>243</v>
      </c>
      <c r="F30" s="4" t="s">
        <v>244</v>
      </c>
      <c r="G30" s="4" t="s">
        <v>290</v>
      </c>
    </row>
    <row r="31" customFormat="false" ht="20.85" hidden="false" customHeight="false" outlineLevel="0" collapsed="false">
      <c r="A31" s="7" t="s">
        <v>231</v>
      </c>
      <c r="B31" s="3" t="s">
        <v>11</v>
      </c>
      <c r="C31" s="3" t="s">
        <v>12</v>
      </c>
      <c r="D31" s="3" t="n">
        <v>37</v>
      </c>
      <c r="E31" s="3" t="s">
        <v>232</v>
      </c>
      <c r="F31" s="4" t="s">
        <v>233</v>
      </c>
      <c r="G31" s="4" t="s">
        <v>291</v>
      </c>
    </row>
    <row r="32" customFormat="false" ht="30.55" hidden="false" customHeight="false" outlineLevel="0" collapsed="false">
      <c r="A32" s="7" t="s">
        <v>231</v>
      </c>
      <c r="B32" s="3" t="s">
        <v>11</v>
      </c>
      <c r="C32" s="3" t="s">
        <v>12</v>
      </c>
      <c r="D32" s="3" t="n">
        <v>37</v>
      </c>
      <c r="E32" s="3" t="s">
        <v>292</v>
      </c>
      <c r="F32" s="4" t="s">
        <v>293</v>
      </c>
      <c r="G32" s="4" t="s">
        <v>294</v>
      </c>
    </row>
    <row r="33" customFormat="false" ht="20.85" hidden="false" customHeight="false" outlineLevel="0" collapsed="false">
      <c r="A33" s="7" t="s">
        <v>231</v>
      </c>
      <c r="B33" s="3" t="s">
        <v>11</v>
      </c>
      <c r="C33" s="3" t="s">
        <v>12</v>
      </c>
      <c r="D33" s="3" t="n">
        <v>38</v>
      </c>
      <c r="E33" s="3" t="s">
        <v>243</v>
      </c>
      <c r="F33" s="4" t="s">
        <v>244</v>
      </c>
      <c r="G33" s="4" t="s">
        <v>295</v>
      </c>
    </row>
    <row r="34" customFormat="false" ht="20.85" hidden="false" customHeight="false" outlineLevel="0" collapsed="false">
      <c r="A34" s="7" t="s">
        <v>231</v>
      </c>
      <c r="B34" s="3" t="s">
        <v>11</v>
      </c>
      <c r="C34" s="3" t="s">
        <v>12</v>
      </c>
      <c r="D34" s="3" t="n">
        <v>39</v>
      </c>
      <c r="E34" s="3" t="s">
        <v>243</v>
      </c>
      <c r="F34" s="4" t="s">
        <v>244</v>
      </c>
      <c r="G34" s="4" t="s">
        <v>296</v>
      </c>
    </row>
    <row r="35" customFormat="false" ht="30.55" hidden="false" customHeight="false" outlineLevel="0" collapsed="false">
      <c r="A35" s="7" t="s">
        <v>231</v>
      </c>
      <c r="B35" s="3" t="s">
        <v>11</v>
      </c>
      <c r="C35" s="3" t="s">
        <v>12</v>
      </c>
      <c r="D35" s="3" t="n">
        <v>39</v>
      </c>
      <c r="E35" s="3" t="s">
        <v>232</v>
      </c>
      <c r="F35" s="4" t="s">
        <v>233</v>
      </c>
      <c r="G35" s="4" t="s">
        <v>297</v>
      </c>
    </row>
    <row r="36" customFormat="false" ht="30.55" hidden="false" customHeight="false" outlineLevel="0" collapsed="false">
      <c r="A36" s="7" t="s">
        <v>231</v>
      </c>
      <c r="B36" s="3" t="s">
        <v>11</v>
      </c>
      <c r="C36" s="3" t="s">
        <v>12</v>
      </c>
      <c r="D36" s="3" t="n">
        <v>40</v>
      </c>
      <c r="E36" s="3" t="s">
        <v>243</v>
      </c>
      <c r="F36" s="4" t="s">
        <v>244</v>
      </c>
      <c r="G36" s="4" t="s">
        <v>298</v>
      </c>
    </row>
    <row r="37" customFormat="false" ht="30.55" hidden="false" customHeight="false" outlineLevel="0" collapsed="false">
      <c r="A37" s="7" t="s">
        <v>231</v>
      </c>
      <c r="B37" s="3" t="s">
        <v>11</v>
      </c>
      <c r="C37" s="3" t="s">
        <v>12</v>
      </c>
      <c r="D37" s="3" t="n">
        <v>40</v>
      </c>
      <c r="E37" s="3" t="s">
        <v>282</v>
      </c>
      <c r="F37" s="4" t="s">
        <v>283</v>
      </c>
      <c r="G37" s="4" t="s">
        <v>299</v>
      </c>
    </row>
    <row r="38" customFormat="false" ht="30.55" hidden="false" customHeight="false" outlineLevel="0" collapsed="false">
      <c r="A38" s="7" t="s">
        <v>231</v>
      </c>
      <c r="B38" s="3" t="s">
        <v>11</v>
      </c>
      <c r="C38" s="3" t="s">
        <v>12</v>
      </c>
      <c r="D38" s="3" t="n">
        <v>41</v>
      </c>
      <c r="E38" s="3" t="s">
        <v>243</v>
      </c>
      <c r="F38" s="4" t="s">
        <v>244</v>
      </c>
      <c r="G38" s="4" t="s">
        <v>300</v>
      </c>
    </row>
    <row r="39" customFormat="false" ht="20.85" hidden="false" customHeight="false" outlineLevel="0" collapsed="false">
      <c r="A39" s="7" t="s">
        <v>231</v>
      </c>
      <c r="B39" s="3" t="s">
        <v>11</v>
      </c>
      <c r="C39" s="3" t="s">
        <v>12</v>
      </c>
      <c r="D39" s="3" t="n">
        <v>43</v>
      </c>
      <c r="E39" s="3" t="s">
        <v>301</v>
      </c>
      <c r="F39" s="4" t="s">
        <v>302</v>
      </c>
      <c r="G39" s="4" t="s">
        <v>303</v>
      </c>
    </row>
    <row r="40" customFormat="false" ht="30.55" hidden="false" customHeight="false" outlineLevel="0" collapsed="false">
      <c r="A40" s="7" t="s">
        <v>231</v>
      </c>
      <c r="B40" s="3" t="s">
        <v>11</v>
      </c>
      <c r="C40" s="3" t="s">
        <v>12</v>
      </c>
      <c r="D40" s="3" t="n">
        <v>45</v>
      </c>
      <c r="E40" s="3" t="s">
        <v>304</v>
      </c>
      <c r="F40" s="4" t="s">
        <v>305</v>
      </c>
      <c r="G40" s="4" t="s">
        <v>306</v>
      </c>
    </row>
    <row r="41" customFormat="false" ht="20.85" hidden="false" customHeight="false" outlineLevel="0" collapsed="false">
      <c r="A41" s="7" t="s">
        <v>231</v>
      </c>
      <c r="B41" s="3" t="s">
        <v>11</v>
      </c>
      <c r="C41" s="3" t="s">
        <v>12</v>
      </c>
      <c r="D41" s="3" t="n">
        <v>45</v>
      </c>
      <c r="E41" s="3" t="s">
        <v>301</v>
      </c>
      <c r="F41" s="4" t="s">
        <v>302</v>
      </c>
      <c r="G41" s="4" t="s">
        <v>307</v>
      </c>
    </row>
    <row r="42" customFormat="false" ht="20.85" hidden="false" customHeight="false" outlineLevel="0" collapsed="false">
      <c r="A42" s="7" t="s">
        <v>231</v>
      </c>
      <c r="B42" s="3" t="s">
        <v>11</v>
      </c>
      <c r="C42" s="3" t="s">
        <v>12</v>
      </c>
      <c r="D42" s="3" t="n">
        <v>46</v>
      </c>
      <c r="E42" s="3" t="s">
        <v>243</v>
      </c>
      <c r="F42" s="4" t="s">
        <v>244</v>
      </c>
      <c r="G42" s="4" t="s">
        <v>308</v>
      </c>
    </row>
    <row r="43" customFormat="false" ht="30.55" hidden="false" customHeight="false" outlineLevel="0" collapsed="false">
      <c r="A43" s="7" t="s">
        <v>231</v>
      </c>
      <c r="B43" s="3" t="s">
        <v>11</v>
      </c>
      <c r="C43" s="3" t="s">
        <v>12</v>
      </c>
      <c r="D43" s="3" t="n">
        <v>47</v>
      </c>
      <c r="E43" s="3" t="s">
        <v>243</v>
      </c>
      <c r="F43" s="4" t="s">
        <v>244</v>
      </c>
      <c r="G43" s="4" t="s">
        <v>309</v>
      </c>
    </row>
    <row r="44" customFormat="false" ht="20.85" hidden="false" customHeight="false" outlineLevel="0" collapsed="false">
      <c r="A44" s="7" t="s">
        <v>231</v>
      </c>
      <c r="B44" s="3" t="s">
        <v>11</v>
      </c>
      <c r="C44" s="3" t="s">
        <v>12</v>
      </c>
      <c r="D44" s="3" t="n">
        <v>47</v>
      </c>
      <c r="E44" s="3" t="s">
        <v>310</v>
      </c>
      <c r="F44" s="4" t="s">
        <v>311</v>
      </c>
      <c r="G44" s="4" t="s">
        <v>312</v>
      </c>
    </row>
    <row r="45" customFormat="false" ht="30.55" hidden="false" customHeight="false" outlineLevel="0" collapsed="false">
      <c r="A45" s="7" t="s">
        <v>231</v>
      </c>
      <c r="B45" s="3" t="s">
        <v>11</v>
      </c>
      <c r="C45" s="3" t="s">
        <v>12</v>
      </c>
      <c r="D45" s="3" t="n">
        <v>48</v>
      </c>
      <c r="E45" s="3" t="s">
        <v>243</v>
      </c>
      <c r="F45" s="4" t="s">
        <v>244</v>
      </c>
      <c r="G45" s="4" t="s">
        <v>313</v>
      </c>
    </row>
    <row r="46" customFormat="false" ht="20.85" hidden="false" customHeight="false" outlineLevel="0" collapsed="false">
      <c r="A46" s="7" t="s">
        <v>231</v>
      </c>
      <c r="B46" s="3" t="s">
        <v>11</v>
      </c>
      <c r="C46" s="3" t="s">
        <v>12</v>
      </c>
      <c r="D46" s="3" t="n">
        <v>49</v>
      </c>
      <c r="E46" s="3" t="s">
        <v>314</v>
      </c>
      <c r="F46" s="4" t="s">
        <v>315</v>
      </c>
      <c r="G46" s="4" t="s">
        <v>316</v>
      </c>
    </row>
    <row r="47" customFormat="false" ht="30.55" hidden="false" customHeight="false" outlineLevel="0" collapsed="false">
      <c r="A47" s="7" t="s">
        <v>231</v>
      </c>
      <c r="B47" s="3" t="s">
        <v>11</v>
      </c>
      <c r="C47" s="3" t="s">
        <v>12</v>
      </c>
      <c r="D47" s="3" t="n">
        <v>50</v>
      </c>
      <c r="E47" s="3" t="s">
        <v>314</v>
      </c>
      <c r="F47" s="4" t="s">
        <v>315</v>
      </c>
      <c r="G47" s="4" t="s">
        <v>317</v>
      </c>
    </row>
    <row r="48" customFormat="false" ht="30.55" hidden="false" customHeight="false" outlineLevel="0" collapsed="false">
      <c r="A48" s="7" t="s">
        <v>231</v>
      </c>
      <c r="B48" s="3" t="s">
        <v>11</v>
      </c>
      <c r="C48" s="3" t="s">
        <v>12</v>
      </c>
      <c r="D48" s="3" t="n">
        <v>51</v>
      </c>
      <c r="E48" s="3" t="s">
        <v>301</v>
      </c>
      <c r="F48" s="4" t="s">
        <v>302</v>
      </c>
      <c r="G48" s="4" t="s">
        <v>318</v>
      </c>
    </row>
    <row r="49" customFormat="false" ht="20.85" hidden="false" customHeight="false" outlineLevel="0" collapsed="false">
      <c r="A49" s="7" t="s">
        <v>231</v>
      </c>
      <c r="B49" s="3" t="s">
        <v>11</v>
      </c>
      <c r="C49" s="3" t="s">
        <v>12</v>
      </c>
      <c r="D49" s="3" t="n">
        <v>53</v>
      </c>
      <c r="E49" s="3" t="s">
        <v>319</v>
      </c>
      <c r="F49" s="4" t="s">
        <v>320</v>
      </c>
      <c r="G49" s="4" t="s">
        <v>321</v>
      </c>
    </row>
    <row r="50" customFormat="false" ht="30.55" hidden="false" customHeight="false" outlineLevel="0" collapsed="false">
      <c r="A50" s="7" t="s">
        <v>231</v>
      </c>
      <c r="B50" s="3" t="s">
        <v>11</v>
      </c>
      <c r="C50" s="3" t="s">
        <v>12</v>
      </c>
      <c r="D50" s="3" t="n">
        <v>53</v>
      </c>
      <c r="E50" s="3" t="s">
        <v>314</v>
      </c>
      <c r="F50" s="4" t="s">
        <v>315</v>
      </c>
      <c r="G50" s="4" t="s">
        <v>322</v>
      </c>
    </row>
    <row r="51" customFormat="false" ht="40.25" hidden="false" customHeight="false" outlineLevel="0" collapsed="false">
      <c r="A51" s="7" t="s">
        <v>231</v>
      </c>
      <c r="B51" s="3" t="s">
        <v>11</v>
      </c>
      <c r="C51" s="3" t="s">
        <v>12</v>
      </c>
      <c r="D51" s="3" t="n">
        <v>54</v>
      </c>
      <c r="E51" s="3" t="s">
        <v>301</v>
      </c>
      <c r="F51" s="4" t="s">
        <v>302</v>
      </c>
      <c r="G51" s="4" t="s">
        <v>323</v>
      </c>
    </row>
    <row r="52" customFormat="false" ht="30.55" hidden="false" customHeight="false" outlineLevel="0" collapsed="false">
      <c r="A52" s="7" t="s">
        <v>231</v>
      </c>
      <c r="B52" s="3" t="s">
        <v>11</v>
      </c>
      <c r="C52" s="3" t="s">
        <v>12</v>
      </c>
      <c r="D52" s="3" t="n">
        <v>55</v>
      </c>
      <c r="E52" s="3" t="s">
        <v>282</v>
      </c>
      <c r="F52" s="4" t="s">
        <v>283</v>
      </c>
      <c r="G52" s="4" t="s">
        <v>324</v>
      </c>
    </row>
    <row r="53" customFormat="false" ht="30.55" hidden="false" customHeight="false" outlineLevel="0" collapsed="false">
      <c r="A53" s="7" t="s">
        <v>231</v>
      </c>
      <c r="B53" s="3" t="s">
        <v>11</v>
      </c>
      <c r="C53" s="3" t="s">
        <v>12</v>
      </c>
      <c r="D53" s="3" t="n">
        <v>56</v>
      </c>
      <c r="E53" s="3" t="s">
        <v>243</v>
      </c>
      <c r="F53" s="4" t="s">
        <v>244</v>
      </c>
      <c r="G53" s="4" t="s">
        <v>325</v>
      </c>
    </row>
    <row r="54" customFormat="false" ht="30.55" hidden="false" customHeight="false" outlineLevel="0" collapsed="false">
      <c r="A54" s="7" t="s">
        <v>231</v>
      </c>
      <c r="B54" s="3" t="s">
        <v>11</v>
      </c>
      <c r="C54" s="3" t="s">
        <v>12</v>
      </c>
      <c r="D54" s="3" t="n">
        <v>56</v>
      </c>
      <c r="E54" s="3" t="s">
        <v>326</v>
      </c>
      <c r="F54" s="4" t="s">
        <v>327</v>
      </c>
      <c r="G54" s="4" t="s">
        <v>328</v>
      </c>
    </row>
    <row r="55" customFormat="false" ht="20.85" hidden="false" customHeight="false" outlineLevel="0" collapsed="false">
      <c r="A55" s="7" t="s">
        <v>231</v>
      </c>
      <c r="B55" s="3" t="s">
        <v>11</v>
      </c>
      <c r="C55" s="3" t="s">
        <v>12</v>
      </c>
      <c r="D55" s="3" t="n">
        <v>57</v>
      </c>
      <c r="E55" s="3" t="s">
        <v>243</v>
      </c>
      <c r="F55" s="4" t="s">
        <v>244</v>
      </c>
      <c r="G55" s="4" t="s">
        <v>329</v>
      </c>
    </row>
    <row r="56" customFormat="false" ht="20.85" hidden="false" customHeight="false" outlineLevel="0" collapsed="false">
      <c r="A56" s="7" t="s">
        <v>231</v>
      </c>
      <c r="B56" s="3" t="s">
        <v>11</v>
      </c>
      <c r="C56" s="3" t="s">
        <v>12</v>
      </c>
      <c r="D56" s="3" t="n">
        <v>57</v>
      </c>
      <c r="E56" s="3" t="s">
        <v>314</v>
      </c>
      <c r="F56" s="4" t="s">
        <v>315</v>
      </c>
      <c r="G56" s="4" t="s">
        <v>330</v>
      </c>
    </row>
    <row r="57" customFormat="false" ht="30.55" hidden="false" customHeight="false" outlineLevel="0" collapsed="false">
      <c r="A57" s="7" t="s">
        <v>231</v>
      </c>
      <c r="B57" s="3" t="s">
        <v>11</v>
      </c>
      <c r="C57" s="3" t="s">
        <v>12</v>
      </c>
      <c r="D57" s="3" t="n">
        <v>58</v>
      </c>
      <c r="E57" s="3" t="s">
        <v>243</v>
      </c>
      <c r="F57" s="4" t="s">
        <v>244</v>
      </c>
      <c r="G57" s="4" t="s">
        <v>331</v>
      </c>
    </row>
    <row r="58" customFormat="false" ht="30.55" hidden="false" customHeight="false" outlineLevel="0" collapsed="false">
      <c r="A58" s="7" t="s">
        <v>231</v>
      </c>
      <c r="B58" s="3" t="s">
        <v>11</v>
      </c>
      <c r="C58" s="3" t="s">
        <v>12</v>
      </c>
      <c r="D58" s="3" t="n">
        <v>58</v>
      </c>
      <c r="E58" s="3" t="s">
        <v>190</v>
      </c>
      <c r="F58" s="4" t="s">
        <v>192</v>
      </c>
      <c r="G58" s="4" t="s">
        <v>332</v>
      </c>
    </row>
    <row r="59" customFormat="false" ht="30.55" hidden="false" customHeight="false" outlineLevel="0" collapsed="false">
      <c r="A59" s="7" t="s">
        <v>231</v>
      </c>
      <c r="B59" s="3" t="s">
        <v>11</v>
      </c>
      <c r="C59" s="3" t="s">
        <v>12</v>
      </c>
      <c r="D59" s="3" t="n">
        <v>58</v>
      </c>
      <c r="E59" s="3" t="s">
        <v>333</v>
      </c>
      <c r="F59" s="4" t="s">
        <v>334</v>
      </c>
      <c r="G59" s="4" t="s">
        <v>335</v>
      </c>
    </row>
    <row r="60" customFormat="false" ht="30.55" hidden="false" customHeight="false" outlineLevel="0" collapsed="false">
      <c r="A60" s="7" t="s">
        <v>231</v>
      </c>
      <c r="B60" s="3" t="s">
        <v>11</v>
      </c>
      <c r="C60" s="3" t="s">
        <v>12</v>
      </c>
      <c r="D60" s="3" t="n">
        <v>58</v>
      </c>
      <c r="E60" s="3" t="s">
        <v>336</v>
      </c>
      <c r="F60" s="4" t="s">
        <v>337</v>
      </c>
      <c r="G60" s="4" t="s">
        <v>338</v>
      </c>
    </row>
    <row r="61" customFormat="false" ht="20.85" hidden="false" customHeight="false" outlineLevel="0" collapsed="false">
      <c r="A61" s="7" t="s">
        <v>231</v>
      </c>
      <c r="B61" s="3" t="s">
        <v>11</v>
      </c>
      <c r="C61" s="3" t="s">
        <v>12</v>
      </c>
      <c r="D61" s="3" t="n">
        <v>59</v>
      </c>
      <c r="E61" s="3" t="s">
        <v>319</v>
      </c>
      <c r="F61" s="4" t="s">
        <v>320</v>
      </c>
      <c r="G61" s="4" t="s">
        <v>339</v>
      </c>
    </row>
    <row r="62" customFormat="false" ht="30.55" hidden="false" customHeight="false" outlineLevel="0" collapsed="false">
      <c r="A62" s="7" t="s">
        <v>231</v>
      </c>
      <c r="B62" s="3" t="s">
        <v>11</v>
      </c>
      <c r="C62" s="3" t="s">
        <v>12</v>
      </c>
      <c r="D62" s="3" t="n">
        <v>59</v>
      </c>
      <c r="E62" s="3" t="s">
        <v>336</v>
      </c>
      <c r="F62" s="4" t="s">
        <v>337</v>
      </c>
      <c r="G62" s="4" t="s">
        <v>340</v>
      </c>
    </row>
    <row r="63" customFormat="false" ht="20.85" hidden="false" customHeight="false" outlineLevel="0" collapsed="false">
      <c r="A63" s="7" t="s">
        <v>231</v>
      </c>
      <c r="B63" s="3" t="s">
        <v>11</v>
      </c>
      <c r="C63" s="3" t="s">
        <v>12</v>
      </c>
      <c r="D63" s="3" t="n">
        <v>59</v>
      </c>
      <c r="E63" s="3" t="s">
        <v>301</v>
      </c>
      <c r="F63" s="4" t="s">
        <v>302</v>
      </c>
      <c r="G63" s="4" t="s">
        <v>341</v>
      </c>
    </row>
    <row r="64" customFormat="false" ht="30.55" hidden="false" customHeight="false" outlineLevel="0" collapsed="false">
      <c r="A64" s="7" t="s">
        <v>231</v>
      </c>
      <c r="B64" s="3" t="s">
        <v>11</v>
      </c>
      <c r="C64" s="3" t="s">
        <v>12</v>
      </c>
      <c r="D64" s="3" t="n">
        <v>60</v>
      </c>
      <c r="E64" s="3" t="s">
        <v>319</v>
      </c>
      <c r="F64" s="4" t="s">
        <v>320</v>
      </c>
      <c r="G64" s="4" t="s">
        <v>342</v>
      </c>
    </row>
    <row r="65" customFormat="false" ht="30.55" hidden="false" customHeight="false" outlineLevel="0" collapsed="false">
      <c r="A65" s="7" t="s">
        <v>231</v>
      </c>
      <c r="B65" s="3" t="s">
        <v>11</v>
      </c>
      <c r="C65" s="3" t="s">
        <v>12</v>
      </c>
      <c r="D65" s="3" t="n">
        <v>60</v>
      </c>
      <c r="E65" s="3" t="s">
        <v>275</v>
      </c>
      <c r="F65" s="4" t="s">
        <v>276</v>
      </c>
      <c r="G65" s="4" t="s">
        <v>343</v>
      </c>
    </row>
    <row r="66" customFormat="false" ht="30.55" hidden="false" customHeight="false" outlineLevel="0" collapsed="false">
      <c r="A66" s="7" t="s">
        <v>231</v>
      </c>
      <c r="B66" s="3" t="s">
        <v>11</v>
      </c>
      <c r="C66" s="3" t="s">
        <v>12</v>
      </c>
      <c r="D66" s="3" t="n">
        <v>61</v>
      </c>
      <c r="E66" s="3" t="s">
        <v>319</v>
      </c>
      <c r="F66" s="4" t="s">
        <v>320</v>
      </c>
      <c r="G66" s="4" t="s">
        <v>344</v>
      </c>
    </row>
    <row r="67" customFormat="false" ht="20.85" hidden="false" customHeight="false" outlineLevel="0" collapsed="false">
      <c r="A67" s="7" t="s">
        <v>231</v>
      </c>
      <c r="B67" s="3" t="s">
        <v>11</v>
      </c>
      <c r="C67" s="3" t="s">
        <v>12</v>
      </c>
      <c r="D67" s="3" t="n">
        <v>62</v>
      </c>
      <c r="E67" s="3" t="s">
        <v>319</v>
      </c>
      <c r="F67" s="4" t="s">
        <v>320</v>
      </c>
      <c r="G67" s="4" t="s">
        <v>345</v>
      </c>
    </row>
    <row r="68" customFormat="false" ht="20.85" hidden="false" customHeight="false" outlineLevel="0" collapsed="false">
      <c r="A68" s="7" t="s">
        <v>231</v>
      </c>
      <c r="B68" s="3" t="s">
        <v>11</v>
      </c>
      <c r="C68" s="3" t="s">
        <v>12</v>
      </c>
      <c r="D68" s="3" t="n">
        <v>63</v>
      </c>
      <c r="E68" s="3" t="s">
        <v>319</v>
      </c>
      <c r="F68" s="4" t="s">
        <v>320</v>
      </c>
      <c r="G68" s="4" t="s">
        <v>346</v>
      </c>
    </row>
    <row r="69" customFormat="false" ht="30.55" hidden="false" customHeight="false" outlineLevel="0" collapsed="false">
      <c r="A69" s="7" t="s">
        <v>231</v>
      </c>
      <c r="B69" s="3" t="s">
        <v>11</v>
      </c>
      <c r="C69" s="3" t="s">
        <v>12</v>
      </c>
      <c r="D69" s="3" t="n">
        <v>63</v>
      </c>
      <c r="E69" s="3" t="s">
        <v>243</v>
      </c>
      <c r="F69" s="4" t="s">
        <v>244</v>
      </c>
      <c r="G69" s="4" t="s">
        <v>347</v>
      </c>
    </row>
    <row r="70" customFormat="false" ht="20.85" hidden="false" customHeight="false" outlineLevel="0" collapsed="false">
      <c r="A70" s="7" t="s">
        <v>231</v>
      </c>
      <c r="B70" s="3" t="s">
        <v>11</v>
      </c>
      <c r="C70" s="3" t="s">
        <v>12</v>
      </c>
      <c r="D70" s="3" t="n">
        <v>63</v>
      </c>
      <c r="E70" s="3" t="s">
        <v>275</v>
      </c>
      <c r="F70" s="4" t="s">
        <v>276</v>
      </c>
      <c r="G70" s="4" t="s">
        <v>348</v>
      </c>
    </row>
    <row r="71" customFormat="false" ht="20.85" hidden="false" customHeight="false" outlineLevel="0" collapsed="false">
      <c r="A71" s="7" t="s">
        <v>231</v>
      </c>
      <c r="B71" s="3" t="s">
        <v>11</v>
      </c>
      <c r="C71" s="3" t="s">
        <v>12</v>
      </c>
      <c r="D71" s="3" t="n">
        <v>63</v>
      </c>
      <c r="E71" s="3" t="s">
        <v>349</v>
      </c>
      <c r="F71" s="4" t="s">
        <v>350</v>
      </c>
      <c r="G71" s="4" t="s">
        <v>351</v>
      </c>
    </row>
    <row r="72" customFormat="false" ht="30.55" hidden="false" customHeight="false" outlineLevel="0" collapsed="false">
      <c r="A72" s="7" t="s">
        <v>231</v>
      </c>
      <c r="B72" s="3" t="s">
        <v>11</v>
      </c>
      <c r="C72" s="3" t="s">
        <v>12</v>
      </c>
      <c r="D72" s="3" t="n">
        <v>64</v>
      </c>
      <c r="E72" s="3" t="s">
        <v>352</v>
      </c>
      <c r="F72" s="4" t="s">
        <v>353</v>
      </c>
      <c r="G72" s="4" t="s">
        <v>354</v>
      </c>
    </row>
    <row r="73" customFormat="false" ht="30.55" hidden="false" customHeight="false" outlineLevel="0" collapsed="false">
      <c r="A73" s="7" t="s">
        <v>231</v>
      </c>
      <c r="B73" s="3" t="s">
        <v>11</v>
      </c>
      <c r="C73" s="3" t="s">
        <v>12</v>
      </c>
      <c r="D73" s="3" t="n">
        <v>64</v>
      </c>
      <c r="E73" s="3" t="s">
        <v>243</v>
      </c>
      <c r="F73" s="4" t="s">
        <v>244</v>
      </c>
      <c r="G73" s="4" t="s">
        <v>355</v>
      </c>
    </row>
    <row r="74" customFormat="false" ht="30.55" hidden="false" customHeight="false" outlineLevel="0" collapsed="false">
      <c r="A74" s="7" t="s">
        <v>231</v>
      </c>
      <c r="B74" s="3" t="s">
        <v>11</v>
      </c>
      <c r="C74" s="3" t="s">
        <v>12</v>
      </c>
      <c r="D74" s="3" t="n">
        <v>64</v>
      </c>
      <c r="E74" s="3" t="s">
        <v>356</v>
      </c>
      <c r="F74" s="4" t="s">
        <v>357</v>
      </c>
      <c r="G74" s="4" t="s">
        <v>358</v>
      </c>
    </row>
    <row r="75" customFormat="false" ht="40.25" hidden="false" customHeight="false" outlineLevel="0" collapsed="false">
      <c r="A75" s="7" t="s">
        <v>231</v>
      </c>
      <c r="B75" s="3" t="s">
        <v>11</v>
      </c>
      <c r="C75" s="3" t="s">
        <v>12</v>
      </c>
      <c r="D75" s="3" t="n">
        <v>65</v>
      </c>
      <c r="E75" s="3" t="s">
        <v>359</v>
      </c>
      <c r="F75" s="4" t="s">
        <v>360</v>
      </c>
      <c r="G75" s="4" t="s">
        <v>361</v>
      </c>
    </row>
    <row r="76" customFormat="false" ht="30.55" hidden="false" customHeight="false" outlineLevel="0" collapsed="false">
      <c r="A76" s="7" t="s">
        <v>231</v>
      </c>
      <c r="B76" s="3" t="s">
        <v>11</v>
      </c>
      <c r="C76" s="3" t="s">
        <v>12</v>
      </c>
      <c r="D76" s="3" t="n">
        <v>65</v>
      </c>
      <c r="E76" s="3" t="s">
        <v>21</v>
      </c>
      <c r="F76" s="4" t="s">
        <v>24</v>
      </c>
      <c r="G76" s="4" t="s">
        <v>362</v>
      </c>
    </row>
    <row r="77" customFormat="false" ht="30.55" hidden="false" customHeight="false" outlineLevel="0" collapsed="false">
      <c r="A77" s="7" t="s">
        <v>231</v>
      </c>
      <c r="B77" s="3" t="s">
        <v>11</v>
      </c>
      <c r="C77" s="3" t="s">
        <v>12</v>
      </c>
      <c r="D77" s="3" t="n">
        <v>66</v>
      </c>
      <c r="E77" s="3" t="s">
        <v>282</v>
      </c>
      <c r="F77" s="4" t="s">
        <v>283</v>
      </c>
      <c r="G77" s="4" t="s">
        <v>363</v>
      </c>
    </row>
    <row r="78" customFormat="false" ht="30.55" hidden="false" customHeight="false" outlineLevel="0" collapsed="false">
      <c r="A78" s="7" t="s">
        <v>231</v>
      </c>
      <c r="B78" s="3" t="s">
        <v>11</v>
      </c>
      <c r="C78" s="3" t="s">
        <v>12</v>
      </c>
      <c r="D78" s="3" t="n">
        <v>66</v>
      </c>
      <c r="E78" s="3" t="s">
        <v>105</v>
      </c>
      <c r="F78" s="4" t="s">
        <v>107</v>
      </c>
      <c r="G78" s="4" t="s">
        <v>364</v>
      </c>
    </row>
    <row r="79" customFormat="false" ht="30.55" hidden="false" customHeight="false" outlineLevel="0" collapsed="false">
      <c r="A79" s="7" t="s">
        <v>231</v>
      </c>
      <c r="B79" s="3" t="s">
        <v>11</v>
      </c>
      <c r="C79" s="3" t="s">
        <v>12</v>
      </c>
      <c r="D79" s="3" t="n">
        <v>68</v>
      </c>
      <c r="E79" s="3" t="s">
        <v>365</v>
      </c>
      <c r="F79" s="4" t="s">
        <v>366</v>
      </c>
      <c r="G79" s="4" t="s">
        <v>367</v>
      </c>
    </row>
    <row r="80" customFormat="false" ht="20.85" hidden="false" customHeight="false" outlineLevel="0" collapsed="false">
      <c r="A80" s="7" t="s">
        <v>231</v>
      </c>
      <c r="B80" s="3" t="s">
        <v>11</v>
      </c>
      <c r="C80" s="3" t="s">
        <v>12</v>
      </c>
      <c r="D80" s="3" t="n">
        <v>69</v>
      </c>
      <c r="E80" s="3" t="s">
        <v>368</v>
      </c>
      <c r="F80" s="4" t="s">
        <v>369</v>
      </c>
      <c r="G80" s="4" t="s">
        <v>370</v>
      </c>
    </row>
    <row r="81" customFormat="false" ht="40.25" hidden="false" customHeight="false" outlineLevel="0" collapsed="false">
      <c r="A81" s="7" t="s">
        <v>231</v>
      </c>
      <c r="B81" s="3" t="s">
        <v>11</v>
      </c>
      <c r="C81" s="3" t="s">
        <v>12</v>
      </c>
      <c r="D81" s="3" t="n">
        <v>74</v>
      </c>
      <c r="E81" s="3" t="s">
        <v>365</v>
      </c>
      <c r="F81" s="4" t="s">
        <v>366</v>
      </c>
      <c r="G81" s="4" t="s">
        <v>371</v>
      </c>
    </row>
    <row r="82" customFormat="false" ht="30.55" hidden="false" customHeight="false" outlineLevel="0" collapsed="false">
      <c r="A82" s="7" t="s">
        <v>231</v>
      </c>
      <c r="B82" s="3" t="s">
        <v>11</v>
      </c>
      <c r="C82" s="3" t="s">
        <v>12</v>
      </c>
      <c r="D82" s="3" t="n">
        <v>77</v>
      </c>
      <c r="E82" s="3" t="s">
        <v>319</v>
      </c>
      <c r="F82" s="4" t="s">
        <v>320</v>
      </c>
      <c r="G82" s="4" t="s">
        <v>372</v>
      </c>
    </row>
    <row r="83" customFormat="false" ht="30.55" hidden="false" customHeight="false" outlineLevel="0" collapsed="false">
      <c r="A83" s="7" t="s">
        <v>231</v>
      </c>
      <c r="B83" s="3" t="s">
        <v>11</v>
      </c>
      <c r="C83" s="3" t="s">
        <v>12</v>
      </c>
      <c r="D83" s="3" t="n">
        <v>77</v>
      </c>
      <c r="E83" s="3" t="s">
        <v>301</v>
      </c>
      <c r="F83" s="4" t="s">
        <v>302</v>
      </c>
      <c r="G83" s="4" t="s">
        <v>373</v>
      </c>
    </row>
    <row r="84" customFormat="false" ht="30.55" hidden="false" customHeight="false" outlineLevel="0" collapsed="false">
      <c r="A84" s="7" t="s">
        <v>231</v>
      </c>
      <c r="B84" s="3" t="s">
        <v>11</v>
      </c>
      <c r="C84" s="3" t="s">
        <v>12</v>
      </c>
      <c r="D84" s="3" t="n">
        <v>77</v>
      </c>
      <c r="E84" s="3" t="s">
        <v>374</v>
      </c>
      <c r="F84" s="4" t="s">
        <v>375</v>
      </c>
      <c r="G84" s="4" t="s">
        <v>376</v>
      </c>
    </row>
    <row r="85" customFormat="false" ht="30.55" hidden="false" customHeight="false" outlineLevel="0" collapsed="false">
      <c r="A85" s="7" t="s">
        <v>231</v>
      </c>
      <c r="B85" s="3" t="s">
        <v>11</v>
      </c>
      <c r="C85" s="3" t="s">
        <v>12</v>
      </c>
      <c r="D85" s="3" t="n">
        <v>78</v>
      </c>
      <c r="E85" s="3" t="s">
        <v>377</v>
      </c>
      <c r="F85" s="4" t="s">
        <v>378</v>
      </c>
      <c r="G85" s="4" t="s">
        <v>379</v>
      </c>
    </row>
    <row r="86" customFormat="false" ht="20.85" hidden="false" customHeight="false" outlineLevel="0" collapsed="false">
      <c r="A86" s="7" t="s">
        <v>231</v>
      </c>
      <c r="B86" s="3" t="s">
        <v>11</v>
      </c>
      <c r="C86" s="3" t="s">
        <v>12</v>
      </c>
      <c r="D86" s="3" t="n">
        <v>79</v>
      </c>
      <c r="E86" s="3" t="s">
        <v>319</v>
      </c>
      <c r="F86" s="4" t="s">
        <v>320</v>
      </c>
      <c r="G86" s="4" t="s">
        <v>380</v>
      </c>
    </row>
    <row r="87" customFormat="false" ht="20.85" hidden="false" customHeight="false" outlineLevel="0" collapsed="false">
      <c r="A87" s="7" t="s">
        <v>231</v>
      </c>
      <c r="B87" s="3" t="s">
        <v>11</v>
      </c>
      <c r="C87" s="3" t="s">
        <v>12</v>
      </c>
      <c r="D87" s="3" t="n">
        <v>80</v>
      </c>
      <c r="E87" s="3" t="s">
        <v>232</v>
      </c>
      <c r="F87" s="4" t="s">
        <v>233</v>
      </c>
      <c r="G87" s="4" t="s">
        <v>381</v>
      </c>
    </row>
    <row r="88" customFormat="false" ht="30.55" hidden="false" customHeight="false" outlineLevel="0" collapsed="false">
      <c r="A88" s="7" t="s">
        <v>231</v>
      </c>
      <c r="B88" s="3" t="s">
        <v>11</v>
      </c>
      <c r="C88" s="3" t="s">
        <v>12</v>
      </c>
      <c r="D88" s="3" t="n">
        <v>80</v>
      </c>
      <c r="E88" s="3" t="s">
        <v>292</v>
      </c>
      <c r="F88" s="4" t="s">
        <v>293</v>
      </c>
      <c r="G88" s="4" t="s">
        <v>382</v>
      </c>
    </row>
    <row r="89" customFormat="false" ht="30.55" hidden="false" customHeight="false" outlineLevel="0" collapsed="false">
      <c r="A89" s="7" t="s">
        <v>231</v>
      </c>
      <c r="B89" s="3" t="s">
        <v>11</v>
      </c>
      <c r="C89" s="3" t="s">
        <v>12</v>
      </c>
      <c r="D89" s="3" t="n">
        <v>80</v>
      </c>
      <c r="E89" s="3" t="s">
        <v>319</v>
      </c>
      <c r="F89" s="4" t="s">
        <v>320</v>
      </c>
      <c r="G89" s="4" t="s">
        <v>383</v>
      </c>
    </row>
    <row r="90" customFormat="false" ht="30.55" hidden="false" customHeight="false" outlineLevel="0" collapsed="false">
      <c r="A90" s="7" t="s">
        <v>231</v>
      </c>
      <c r="B90" s="3" t="s">
        <v>11</v>
      </c>
      <c r="C90" s="3" t="s">
        <v>26</v>
      </c>
      <c r="D90" s="3" t="n">
        <v>7</v>
      </c>
      <c r="E90" s="3" t="s">
        <v>384</v>
      </c>
      <c r="F90" s="4" t="s">
        <v>385</v>
      </c>
      <c r="G90" s="4" t="s">
        <v>386</v>
      </c>
    </row>
    <row r="91" customFormat="false" ht="30.55" hidden="false" customHeight="false" outlineLevel="0" collapsed="false">
      <c r="A91" s="7" t="s">
        <v>231</v>
      </c>
      <c r="B91" s="3" t="s">
        <v>11</v>
      </c>
      <c r="C91" s="3" t="s">
        <v>26</v>
      </c>
      <c r="D91" s="3" t="n">
        <v>13</v>
      </c>
      <c r="E91" s="3" t="s">
        <v>256</v>
      </c>
      <c r="F91" s="4" t="s">
        <v>257</v>
      </c>
      <c r="G91" s="4" t="s">
        <v>387</v>
      </c>
    </row>
    <row r="92" customFormat="false" ht="20.85" hidden="false" customHeight="false" outlineLevel="0" collapsed="false">
      <c r="A92" s="7" t="s">
        <v>231</v>
      </c>
      <c r="B92" s="3" t="s">
        <v>11</v>
      </c>
      <c r="C92" s="3" t="s">
        <v>26</v>
      </c>
      <c r="D92" s="3" t="n">
        <v>14</v>
      </c>
      <c r="E92" s="3" t="s">
        <v>310</v>
      </c>
      <c r="F92" s="4" t="s">
        <v>311</v>
      </c>
      <c r="G92" s="4" t="s">
        <v>388</v>
      </c>
    </row>
    <row r="93" customFormat="false" ht="30.55" hidden="false" customHeight="false" outlineLevel="0" collapsed="false">
      <c r="A93" s="7" t="s">
        <v>231</v>
      </c>
      <c r="B93" s="3" t="s">
        <v>11</v>
      </c>
      <c r="C93" s="3" t="s">
        <v>26</v>
      </c>
      <c r="D93" s="3" t="n">
        <v>14</v>
      </c>
      <c r="E93" s="3" t="s">
        <v>389</v>
      </c>
      <c r="F93" s="4" t="s">
        <v>390</v>
      </c>
      <c r="G93" s="4" t="s">
        <v>391</v>
      </c>
    </row>
    <row r="94" customFormat="false" ht="20.85" hidden="false" customHeight="false" outlineLevel="0" collapsed="false">
      <c r="A94" s="7" t="s">
        <v>231</v>
      </c>
      <c r="B94" s="3" t="s">
        <v>11</v>
      </c>
      <c r="C94" s="3" t="s">
        <v>26</v>
      </c>
      <c r="D94" s="3" t="n">
        <v>14</v>
      </c>
      <c r="E94" s="3" t="s">
        <v>392</v>
      </c>
      <c r="F94" s="4" t="s">
        <v>393</v>
      </c>
      <c r="G94" s="4" t="s">
        <v>394</v>
      </c>
    </row>
    <row r="95" customFormat="false" ht="20.85" hidden="false" customHeight="false" outlineLevel="0" collapsed="false">
      <c r="A95" s="7" t="s">
        <v>231</v>
      </c>
      <c r="B95" s="3" t="s">
        <v>11</v>
      </c>
      <c r="C95" s="3" t="s">
        <v>26</v>
      </c>
      <c r="D95" s="3" t="n">
        <v>14</v>
      </c>
      <c r="E95" s="3" t="s">
        <v>232</v>
      </c>
      <c r="F95" s="4" t="s">
        <v>233</v>
      </c>
      <c r="G95" s="4" t="s">
        <v>395</v>
      </c>
    </row>
    <row r="96" customFormat="false" ht="40.25" hidden="false" customHeight="false" outlineLevel="0" collapsed="false">
      <c r="A96" s="7" t="s">
        <v>231</v>
      </c>
      <c r="B96" s="3" t="s">
        <v>11</v>
      </c>
      <c r="C96" s="3" t="s">
        <v>26</v>
      </c>
      <c r="D96" s="3" t="n">
        <v>15</v>
      </c>
      <c r="E96" s="3" t="s">
        <v>352</v>
      </c>
      <c r="F96" s="4" t="s">
        <v>353</v>
      </c>
      <c r="G96" s="4" t="s">
        <v>396</v>
      </c>
    </row>
    <row r="97" customFormat="false" ht="30.55" hidden="false" customHeight="false" outlineLevel="0" collapsed="false">
      <c r="A97" s="7" t="s">
        <v>231</v>
      </c>
      <c r="B97" s="3" t="s">
        <v>11</v>
      </c>
      <c r="C97" s="3" t="s">
        <v>26</v>
      </c>
      <c r="D97" s="3" t="n">
        <v>16</v>
      </c>
      <c r="E97" s="3" t="s">
        <v>397</v>
      </c>
      <c r="F97" s="4" t="s">
        <v>398</v>
      </c>
      <c r="G97" s="4" t="s">
        <v>399</v>
      </c>
    </row>
    <row r="98" customFormat="false" ht="30.55" hidden="false" customHeight="false" outlineLevel="0" collapsed="false">
      <c r="A98" s="7" t="s">
        <v>231</v>
      </c>
      <c r="B98" s="3" t="s">
        <v>11</v>
      </c>
      <c r="C98" s="3" t="s">
        <v>26</v>
      </c>
      <c r="D98" s="3" t="n">
        <v>16</v>
      </c>
      <c r="E98" s="3" t="s">
        <v>400</v>
      </c>
      <c r="F98" s="4" t="s">
        <v>401</v>
      </c>
      <c r="G98" s="4" t="s">
        <v>402</v>
      </c>
    </row>
    <row r="99" customFormat="false" ht="15" hidden="false" customHeight="false" outlineLevel="0" collapsed="false">
      <c r="A99" s="7" t="s">
        <v>231</v>
      </c>
      <c r="B99" s="3" t="s">
        <v>11</v>
      </c>
      <c r="C99" s="3" t="s">
        <v>26</v>
      </c>
      <c r="D99" s="3" t="n">
        <v>18</v>
      </c>
      <c r="E99" s="3" t="s">
        <v>403</v>
      </c>
      <c r="F99" s="4" t="s">
        <v>404</v>
      </c>
      <c r="G99" s="4" t="s">
        <v>405</v>
      </c>
    </row>
    <row r="100" customFormat="false" ht="20.85" hidden="false" customHeight="false" outlineLevel="0" collapsed="false">
      <c r="A100" s="7" t="s">
        <v>231</v>
      </c>
      <c r="B100" s="3" t="s">
        <v>11</v>
      </c>
      <c r="C100" s="3" t="s">
        <v>26</v>
      </c>
      <c r="D100" s="3" t="n">
        <v>19</v>
      </c>
      <c r="E100" s="3" t="s">
        <v>253</v>
      </c>
      <c r="F100" s="4" t="s">
        <v>254</v>
      </c>
      <c r="G100" s="4" t="s">
        <v>406</v>
      </c>
    </row>
    <row r="101" customFormat="false" ht="30.55" hidden="false" customHeight="false" outlineLevel="0" collapsed="false">
      <c r="A101" s="7" t="s">
        <v>231</v>
      </c>
      <c r="B101" s="3" t="s">
        <v>11</v>
      </c>
      <c r="C101" s="3" t="s">
        <v>26</v>
      </c>
      <c r="D101" s="3" t="n">
        <v>19</v>
      </c>
      <c r="E101" s="3" t="s">
        <v>407</v>
      </c>
      <c r="F101" s="4" t="s">
        <v>408</v>
      </c>
      <c r="G101" s="4" t="s">
        <v>409</v>
      </c>
    </row>
    <row r="102" customFormat="false" ht="20.85" hidden="false" customHeight="false" outlineLevel="0" collapsed="false">
      <c r="A102" s="7" t="s">
        <v>231</v>
      </c>
      <c r="B102" s="3" t="s">
        <v>11</v>
      </c>
      <c r="C102" s="3" t="s">
        <v>26</v>
      </c>
      <c r="D102" s="3" t="n">
        <v>21</v>
      </c>
      <c r="E102" s="3" t="s">
        <v>410</v>
      </c>
      <c r="F102" s="4" t="s">
        <v>411</v>
      </c>
      <c r="G102" s="4" t="s">
        <v>412</v>
      </c>
    </row>
    <row r="103" customFormat="false" ht="20.85" hidden="false" customHeight="false" outlineLevel="0" collapsed="false">
      <c r="A103" s="7" t="s">
        <v>231</v>
      </c>
      <c r="B103" s="3" t="s">
        <v>11</v>
      </c>
      <c r="C103" s="3" t="s">
        <v>26</v>
      </c>
      <c r="D103" s="3" t="n">
        <v>22</v>
      </c>
      <c r="E103" s="3" t="s">
        <v>271</v>
      </c>
      <c r="F103" s="4" t="s">
        <v>272</v>
      </c>
      <c r="G103" s="4" t="s">
        <v>413</v>
      </c>
    </row>
    <row r="104" customFormat="false" ht="20.85" hidden="false" customHeight="false" outlineLevel="0" collapsed="false">
      <c r="A104" s="7" t="s">
        <v>231</v>
      </c>
      <c r="B104" s="3" t="s">
        <v>11</v>
      </c>
      <c r="C104" s="3" t="s">
        <v>26</v>
      </c>
      <c r="D104" s="3" t="n">
        <v>22</v>
      </c>
      <c r="E104" s="3" t="s">
        <v>310</v>
      </c>
      <c r="F104" s="4" t="s">
        <v>311</v>
      </c>
      <c r="G104" s="4" t="s">
        <v>414</v>
      </c>
    </row>
    <row r="105" customFormat="false" ht="30.55" hidden="false" customHeight="false" outlineLevel="0" collapsed="false">
      <c r="A105" s="7" t="s">
        <v>231</v>
      </c>
      <c r="B105" s="3" t="s">
        <v>11</v>
      </c>
      <c r="C105" s="3" t="s">
        <v>26</v>
      </c>
      <c r="D105" s="3" t="n">
        <v>22</v>
      </c>
      <c r="E105" s="3" t="s">
        <v>389</v>
      </c>
      <c r="F105" s="4" t="s">
        <v>390</v>
      </c>
      <c r="G105" s="4" t="s">
        <v>415</v>
      </c>
    </row>
    <row r="106" customFormat="false" ht="20.85" hidden="false" customHeight="false" outlineLevel="0" collapsed="false">
      <c r="A106" s="7" t="s">
        <v>231</v>
      </c>
      <c r="B106" s="3" t="s">
        <v>11</v>
      </c>
      <c r="C106" s="3" t="s">
        <v>26</v>
      </c>
      <c r="D106" s="3" t="n">
        <v>22</v>
      </c>
      <c r="E106" s="3" t="s">
        <v>265</v>
      </c>
      <c r="F106" s="4" t="s">
        <v>266</v>
      </c>
      <c r="G106" s="4" t="s">
        <v>416</v>
      </c>
    </row>
    <row r="107" customFormat="false" ht="20.85" hidden="false" customHeight="false" outlineLevel="0" collapsed="false">
      <c r="A107" s="7" t="s">
        <v>231</v>
      </c>
      <c r="B107" s="3" t="s">
        <v>11</v>
      </c>
      <c r="C107" s="3" t="s">
        <v>26</v>
      </c>
      <c r="D107" s="3" t="n">
        <v>23</v>
      </c>
      <c r="E107" s="3" t="s">
        <v>243</v>
      </c>
      <c r="F107" s="4" t="s">
        <v>244</v>
      </c>
      <c r="G107" s="4" t="s">
        <v>417</v>
      </c>
    </row>
    <row r="108" customFormat="false" ht="30.55" hidden="false" customHeight="false" outlineLevel="0" collapsed="false">
      <c r="A108" s="7" t="s">
        <v>231</v>
      </c>
      <c r="B108" s="3" t="s">
        <v>11</v>
      </c>
      <c r="C108" s="3" t="s">
        <v>26</v>
      </c>
      <c r="D108" s="3" t="n">
        <v>23</v>
      </c>
      <c r="E108" s="3" t="s">
        <v>190</v>
      </c>
      <c r="F108" s="4" t="s">
        <v>192</v>
      </c>
      <c r="G108" s="4" t="s">
        <v>418</v>
      </c>
    </row>
    <row r="109" customFormat="false" ht="20.85" hidden="false" customHeight="false" outlineLevel="0" collapsed="false">
      <c r="A109" s="7" t="s">
        <v>231</v>
      </c>
      <c r="B109" s="3" t="s">
        <v>11</v>
      </c>
      <c r="C109" s="3" t="s">
        <v>26</v>
      </c>
      <c r="D109" s="3" t="n">
        <v>23</v>
      </c>
      <c r="E109" s="3" t="s">
        <v>314</v>
      </c>
      <c r="F109" s="4" t="s">
        <v>315</v>
      </c>
      <c r="G109" s="4" t="s">
        <v>419</v>
      </c>
    </row>
    <row r="110" customFormat="false" ht="20.85" hidden="false" customHeight="false" outlineLevel="0" collapsed="false">
      <c r="A110" s="7" t="s">
        <v>231</v>
      </c>
      <c r="B110" s="3" t="s">
        <v>11</v>
      </c>
      <c r="C110" s="3" t="s">
        <v>26</v>
      </c>
      <c r="D110" s="3" t="n">
        <v>23</v>
      </c>
      <c r="E110" s="3" t="s">
        <v>319</v>
      </c>
      <c r="F110" s="4" t="s">
        <v>320</v>
      </c>
      <c r="G110" s="4" t="s">
        <v>420</v>
      </c>
    </row>
    <row r="111" customFormat="false" ht="30.55" hidden="false" customHeight="false" outlineLevel="0" collapsed="false">
      <c r="A111" s="7" t="s">
        <v>231</v>
      </c>
      <c r="B111" s="3" t="s">
        <v>11</v>
      </c>
      <c r="C111" s="3" t="s">
        <v>26</v>
      </c>
      <c r="D111" s="3" t="n">
        <v>24</v>
      </c>
      <c r="E111" s="3" t="s">
        <v>421</v>
      </c>
      <c r="F111" s="4" t="s">
        <v>422</v>
      </c>
      <c r="G111" s="4" t="s">
        <v>423</v>
      </c>
    </row>
    <row r="112" customFormat="false" ht="20.85" hidden="false" customHeight="false" outlineLevel="0" collapsed="false">
      <c r="A112" s="7" t="s">
        <v>231</v>
      </c>
      <c r="B112" s="3" t="s">
        <v>11</v>
      </c>
      <c r="C112" s="3" t="s">
        <v>26</v>
      </c>
      <c r="D112" s="3" t="n">
        <v>26</v>
      </c>
      <c r="E112" s="3" t="s">
        <v>424</v>
      </c>
      <c r="F112" s="4" t="s">
        <v>425</v>
      </c>
      <c r="G112" s="4" t="s">
        <v>426</v>
      </c>
    </row>
    <row r="113" customFormat="false" ht="40.25" hidden="false" customHeight="false" outlineLevel="0" collapsed="false">
      <c r="A113" s="7" t="s">
        <v>231</v>
      </c>
      <c r="B113" s="3" t="s">
        <v>11</v>
      </c>
      <c r="C113" s="3" t="s">
        <v>427</v>
      </c>
      <c r="D113" s="3" t="n">
        <v>2</v>
      </c>
      <c r="E113" s="3" t="s">
        <v>31</v>
      </c>
      <c r="F113" s="4" t="s">
        <v>33</v>
      </c>
      <c r="G113" s="4" t="s">
        <v>428</v>
      </c>
    </row>
    <row r="114" customFormat="false" ht="30.55" hidden="false" customHeight="false" outlineLevel="0" collapsed="false">
      <c r="A114" s="7" t="s">
        <v>231</v>
      </c>
      <c r="B114" s="3" t="s">
        <v>11</v>
      </c>
      <c r="C114" s="3" t="s">
        <v>427</v>
      </c>
      <c r="D114" s="3" t="n">
        <v>3</v>
      </c>
      <c r="E114" s="3" t="s">
        <v>105</v>
      </c>
      <c r="F114" s="4" t="s">
        <v>107</v>
      </c>
      <c r="G114" s="4" t="s">
        <v>429</v>
      </c>
    </row>
    <row r="115" customFormat="false" ht="20.85" hidden="false" customHeight="false" outlineLevel="0" collapsed="false">
      <c r="A115" s="7" t="s">
        <v>231</v>
      </c>
      <c r="B115" s="3" t="s">
        <v>11</v>
      </c>
      <c r="C115" s="3" t="s">
        <v>427</v>
      </c>
      <c r="D115" s="3" t="n">
        <v>4</v>
      </c>
      <c r="E115" s="3" t="s">
        <v>430</v>
      </c>
      <c r="F115" s="4" t="s">
        <v>431</v>
      </c>
      <c r="G115" s="4" t="s">
        <v>432</v>
      </c>
    </row>
    <row r="116" customFormat="false" ht="30.55" hidden="false" customHeight="false" outlineLevel="0" collapsed="false">
      <c r="A116" s="7" t="s">
        <v>231</v>
      </c>
      <c r="B116" s="3" t="s">
        <v>11</v>
      </c>
      <c r="C116" s="3" t="s">
        <v>427</v>
      </c>
      <c r="D116" s="3" t="n">
        <v>4</v>
      </c>
      <c r="E116" s="3" t="s">
        <v>433</v>
      </c>
      <c r="F116" s="4" t="s">
        <v>434</v>
      </c>
      <c r="G116" s="4" t="s">
        <v>435</v>
      </c>
    </row>
    <row r="117" customFormat="false" ht="40.25" hidden="false" customHeight="false" outlineLevel="0" collapsed="false">
      <c r="A117" s="7" t="s">
        <v>231</v>
      </c>
      <c r="B117" s="3" t="s">
        <v>11</v>
      </c>
      <c r="C117" s="3" t="s">
        <v>427</v>
      </c>
      <c r="D117" s="3" t="n">
        <v>7</v>
      </c>
      <c r="E117" s="3" t="s">
        <v>31</v>
      </c>
      <c r="F117" s="4" t="s">
        <v>33</v>
      </c>
      <c r="G117" s="4" t="s">
        <v>436</v>
      </c>
    </row>
    <row r="118" customFormat="false" ht="30.55" hidden="false" customHeight="false" outlineLevel="0" collapsed="false">
      <c r="A118" s="7" t="s">
        <v>231</v>
      </c>
      <c r="B118" s="3" t="s">
        <v>11</v>
      </c>
      <c r="C118" s="3" t="s">
        <v>104</v>
      </c>
      <c r="D118" s="3" t="n">
        <v>1</v>
      </c>
      <c r="E118" s="3" t="s">
        <v>359</v>
      </c>
      <c r="F118" s="4" t="s">
        <v>360</v>
      </c>
      <c r="G118" s="4" t="s">
        <v>437</v>
      </c>
    </row>
    <row r="119" customFormat="false" ht="30.55" hidden="false" customHeight="false" outlineLevel="0" collapsed="false">
      <c r="A119" s="7" t="s">
        <v>231</v>
      </c>
      <c r="B119" s="3" t="s">
        <v>11</v>
      </c>
      <c r="C119" s="3" t="s">
        <v>104</v>
      </c>
      <c r="D119" s="3" t="n">
        <v>3</v>
      </c>
      <c r="E119" s="3" t="s">
        <v>359</v>
      </c>
      <c r="F119" s="4" t="s">
        <v>360</v>
      </c>
      <c r="G119" s="4" t="s">
        <v>438</v>
      </c>
    </row>
    <row r="120" customFormat="false" ht="30.55" hidden="false" customHeight="false" outlineLevel="0" collapsed="false">
      <c r="A120" s="7" t="s">
        <v>231</v>
      </c>
      <c r="B120" s="3" t="s">
        <v>11</v>
      </c>
      <c r="C120" s="3" t="s">
        <v>104</v>
      </c>
      <c r="D120" s="3" t="n">
        <v>7</v>
      </c>
      <c r="E120" s="3" t="s">
        <v>31</v>
      </c>
      <c r="F120" s="4" t="s">
        <v>33</v>
      </c>
      <c r="G120" s="4" t="s">
        <v>439</v>
      </c>
    </row>
  </sheetData>
  <autoFilter ref="A1:G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16"/>
    <col collapsed="false" customWidth="true" hidden="false" outlineLevel="0" max="3" min="3" style="0" width="18"/>
    <col collapsed="false" customWidth="true" hidden="false" outlineLevel="0" max="4" min="4" style="0" width="52"/>
  </cols>
  <sheetData>
    <row r="1" customFormat="false" ht="15" hidden="false" customHeight="false" outlineLevel="0" collapsed="false">
      <c r="A1" s="8" t="s">
        <v>440</v>
      </c>
    </row>
    <row r="3" customFormat="false" ht="15" hidden="false" customHeight="false" outlineLevel="0" collapsed="false">
      <c r="A3" s="9" t="s">
        <v>441</v>
      </c>
      <c r="B3" s="9" t="s">
        <v>442</v>
      </c>
      <c r="C3" s="9" t="s">
        <v>4</v>
      </c>
      <c r="D3" s="9" t="s">
        <v>443</v>
      </c>
    </row>
    <row r="4" customFormat="false" ht="35.05" hidden="false" customHeight="false" outlineLevel="0" collapsed="false">
      <c r="A4" s="10" t="s">
        <v>444</v>
      </c>
      <c r="B4" s="10" t="s">
        <v>445</v>
      </c>
      <c r="C4" s="10" t="s">
        <v>446</v>
      </c>
      <c r="D4" s="11" t="s">
        <v>447</v>
      </c>
    </row>
    <row r="5" customFormat="false" ht="23.85" hidden="false" customHeight="false" outlineLevel="0" collapsed="false">
      <c r="A5" s="10" t="s">
        <v>444</v>
      </c>
      <c r="B5" s="10" t="s">
        <v>448</v>
      </c>
      <c r="C5" s="10" t="s">
        <v>449</v>
      </c>
      <c r="D5" s="11" t="s">
        <v>450</v>
      </c>
    </row>
    <row r="6" customFormat="false" ht="23.85" hidden="false" customHeight="false" outlineLevel="0" collapsed="false">
      <c r="A6" s="10" t="s">
        <v>444</v>
      </c>
      <c r="B6" s="10" t="s">
        <v>448</v>
      </c>
      <c r="C6" s="10" t="s">
        <v>451</v>
      </c>
      <c r="D6" s="11" t="s">
        <v>452</v>
      </c>
    </row>
    <row r="7" customFormat="false" ht="23.85" hidden="false" customHeight="false" outlineLevel="0" collapsed="false">
      <c r="A7" s="10" t="s">
        <v>444</v>
      </c>
      <c r="B7" s="10" t="s">
        <v>453</v>
      </c>
      <c r="C7" s="10" t="s">
        <v>454</v>
      </c>
      <c r="D7" s="11" t="s">
        <v>455</v>
      </c>
    </row>
    <row r="8" customFormat="false" ht="23.85" hidden="false" customHeight="false" outlineLevel="0" collapsed="false">
      <c r="A8" s="10" t="s">
        <v>444</v>
      </c>
      <c r="B8" s="10" t="s">
        <v>456</v>
      </c>
      <c r="C8" s="10" t="s">
        <v>457</v>
      </c>
      <c r="D8" s="11" t="s">
        <v>458</v>
      </c>
    </row>
    <row r="9" customFormat="false" ht="23.85" hidden="false" customHeight="false" outlineLevel="0" collapsed="false">
      <c r="A9" s="10" t="s">
        <v>444</v>
      </c>
      <c r="B9" s="10" t="s">
        <v>459</v>
      </c>
      <c r="C9" s="10" t="s">
        <v>259</v>
      </c>
      <c r="D9" s="11" t="s">
        <v>460</v>
      </c>
    </row>
    <row r="10" customFormat="false" ht="23.85" hidden="false" customHeight="false" outlineLevel="0" collapsed="false">
      <c r="A10" s="10" t="s">
        <v>444</v>
      </c>
      <c r="B10" s="10" t="s">
        <v>461</v>
      </c>
      <c r="C10" s="10" t="s">
        <v>240</v>
      </c>
      <c r="D10" s="11" t="s">
        <v>462</v>
      </c>
    </row>
    <row r="11" customFormat="false" ht="23.85" hidden="false" customHeight="false" outlineLevel="0" collapsed="false">
      <c r="A11" s="10" t="s">
        <v>444</v>
      </c>
      <c r="B11" s="10" t="s">
        <v>463</v>
      </c>
      <c r="C11" s="10" t="s">
        <v>464</v>
      </c>
      <c r="D11" s="11" t="s">
        <v>465</v>
      </c>
    </row>
    <row r="12" customFormat="false" ht="15" hidden="false" customHeight="false" outlineLevel="0" collapsed="false">
      <c r="A12" s="10" t="s">
        <v>444</v>
      </c>
      <c r="B12" s="10" t="s">
        <v>466</v>
      </c>
      <c r="C12" s="10" t="s">
        <v>467</v>
      </c>
      <c r="D12" s="11" t="s">
        <v>468</v>
      </c>
    </row>
    <row r="13" customFormat="false" ht="23.85" hidden="false" customHeight="false" outlineLevel="0" collapsed="false">
      <c r="A13" s="10" t="s">
        <v>444</v>
      </c>
      <c r="B13" s="10" t="s">
        <v>469</v>
      </c>
      <c r="C13" s="10" t="s">
        <v>470</v>
      </c>
      <c r="D13" s="11" t="s">
        <v>471</v>
      </c>
    </row>
    <row r="14" customFormat="false" ht="23.85" hidden="false" customHeight="false" outlineLevel="0" collapsed="false">
      <c r="A14" s="10" t="s">
        <v>444</v>
      </c>
      <c r="B14" s="10" t="s">
        <v>472</v>
      </c>
      <c r="C14" s="10" t="s">
        <v>473</v>
      </c>
      <c r="D14" s="11" t="s">
        <v>474</v>
      </c>
    </row>
    <row r="15" customFormat="false" ht="15" hidden="false" customHeight="false" outlineLevel="0" collapsed="false">
      <c r="A15" s="10" t="s">
        <v>475</v>
      </c>
      <c r="B15" s="10" t="s">
        <v>476</v>
      </c>
      <c r="C15" s="10" t="s">
        <v>477</v>
      </c>
      <c r="D15" s="11" t="s">
        <v>478</v>
      </c>
    </row>
    <row r="16" customFormat="false" ht="15" hidden="false" customHeight="false" outlineLevel="0" collapsed="false">
      <c r="A16" s="10" t="s">
        <v>475</v>
      </c>
      <c r="B16" s="10" t="s">
        <v>448</v>
      </c>
      <c r="C16" s="10" t="s">
        <v>479</v>
      </c>
      <c r="D16" s="11" t="s">
        <v>480</v>
      </c>
    </row>
    <row r="17" customFormat="false" ht="15" hidden="false" customHeight="false" outlineLevel="0" collapsed="false">
      <c r="A17" s="10" t="s">
        <v>475</v>
      </c>
      <c r="B17" s="10" t="s">
        <v>481</v>
      </c>
      <c r="C17" s="10" t="s">
        <v>482</v>
      </c>
      <c r="D17" s="11" t="s">
        <v>483</v>
      </c>
    </row>
    <row r="18" customFormat="false" ht="15" hidden="false" customHeight="false" outlineLevel="0" collapsed="false">
      <c r="A18" s="10" t="s">
        <v>475</v>
      </c>
      <c r="B18" s="10" t="s">
        <v>484</v>
      </c>
      <c r="C18" s="10" t="s">
        <v>485</v>
      </c>
      <c r="D18" s="11" t="s">
        <v>486</v>
      </c>
    </row>
    <row r="19" customFormat="false" ht="15" hidden="false" customHeight="false" outlineLevel="0" collapsed="false">
      <c r="A19" s="10" t="s">
        <v>475</v>
      </c>
      <c r="B19" s="10" t="s">
        <v>487</v>
      </c>
      <c r="C19" s="10" t="s">
        <v>488</v>
      </c>
      <c r="D19" s="11" t="s">
        <v>489</v>
      </c>
    </row>
    <row r="20" customFormat="false" ht="15" hidden="false" customHeight="false" outlineLevel="0" collapsed="false">
      <c r="A20" s="10" t="s">
        <v>475</v>
      </c>
      <c r="B20" s="10" t="s">
        <v>487</v>
      </c>
      <c r="C20" s="10" t="s">
        <v>490</v>
      </c>
      <c r="D20" s="11" t="s">
        <v>489</v>
      </c>
    </row>
    <row r="21" customFormat="false" ht="15" hidden="false" customHeight="false" outlineLevel="0" collapsed="false">
      <c r="A21" s="10" t="s">
        <v>475</v>
      </c>
      <c r="B21" s="10" t="s">
        <v>491</v>
      </c>
      <c r="C21" s="10" t="s">
        <v>492</v>
      </c>
      <c r="D21" s="11" t="s">
        <v>493</v>
      </c>
    </row>
    <row r="22" customFormat="false" ht="15" hidden="false" customHeight="false" outlineLevel="0" collapsed="false">
      <c r="A22" s="10" t="s">
        <v>475</v>
      </c>
      <c r="B22" s="10" t="s">
        <v>494</v>
      </c>
      <c r="C22" s="10" t="s">
        <v>495</v>
      </c>
      <c r="D22" s="11" t="s">
        <v>496</v>
      </c>
    </row>
    <row r="23" customFormat="false" ht="15" hidden="false" customHeight="false" outlineLevel="0" collapsed="false">
      <c r="A23" s="10" t="s">
        <v>475</v>
      </c>
      <c r="B23" s="10" t="s">
        <v>497</v>
      </c>
      <c r="C23" s="10" t="s">
        <v>495</v>
      </c>
      <c r="D23" s="11" t="s">
        <v>496</v>
      </c>
    </row>
    <row r="24" customFormat="false" ht="15" hidden="false" customHeight="false" outlineLevel="0" collapsed="false">
      <c r="A24" s="10" t="s">
        <v>475</v>
      </c>
      <c r="B24" s="10" t="s">
        <v>498</v>
      </c>
      <c r="C24" s="10" t="s">
        <v>495</v>
      </c>
      <c r="D24" s="11" t="s">
        <v>496</v>
      </c>
    </row>
    <row r="25" customFormat="false" ht="15" hidden="false" customHeight="false" outlineLevel="0" collapsed="false">
      <c r="A25" s="10" t="s">
        <v>475</v>
      </c>
      <c r="B25" s="10" t="s">
        <v>499</v>
      </c>
      <c r="C25" s="10" t="s">
        <v>495</v>
      </c>
      <c r="D25" s="11" t="s">
        <v>496</v>
      </c>
    </row>
    <row r="26" customFormat="false" ht="15" hidden="false" customHeight="false" outlineLevel="0" collapsed="false">
      <c r="A26" s="10" t="s">
        <v>475</v>
      </c>
      <c r="B26" s="10" t="s">
        <v>500</v>
      </c>
      <c r="C26" s="10" t="s">
        <v>495</v>
      </c>
      <c r="D26" s="11" t="s">
        <v>496</v>
      </c>
    </row>
    <row r="27" customFormat="false" ht="15" hidden="false" customHeight="false" outlineLevel="0" collapsed="false">
      <c r="A27" s="10" t="s">
        <v>475</v>
      </c>
      <c r="B27" s="10" t="s">
        <v>501</v>
      </c>
      <c r="C27" s="10" t="s">
        <v>495</v>
      </c>
      <c r="D27" s="11" t="s">
        <v>496</v>
      </c>
    </row>
    <row r="28" customFormat="false" ht="15" hidden="false" customHeight="false" outlineLevel="0" collapsed="false">
      <c r="A28" s="10" t="s">
        <v>475</v>
      </c>
      <c r="B28" s="10" t="s">
        <v>502</v>
      </c>
      <c r="C28" s="10" t="s">
        <v>495</v>
      </c>
      <c r="D28" s="11" t="s">
        <v>496</v>
      </c>
    </row>
    <row r="29" customFormat="false" ht="15" hidden="false" customHeight="false" outlineLevel="0" collapsed="false">
      <c r="A29" s="10" t="s">
        <v>475</v>
      </c>
      <c r="B29" s="10" t="s">
        <v>503</v>
      </c>
      <c r="C29" s="10" t="s">
        <v>495</v>
      </c>
      <c r="D29" s="11" t="s">
        <v>496</v>
      </c>
    </row>
    <row r="30" customFormat="false" ht="15" hidden="false" customHeight="false" outlineLevel="0" collapsed="false">
      <c r="A30" s="10" t="s">
        <v>475</v>
      </c>
      <c r="B30" s="10" t="s">
        <v>504</v>
      </c>
      <c r="C30" s="10" t="s">
        <v>495</v>
      </c>
      <c r="D30" s="11" t="s">
        <v>496</v>
      </c>
    </row>
    <row r="31" customFormat="false" ht="15" hidden="false" customHeight="false" outlineLevel="0" collapsed="false">
      <c r="A31" s="10" t="s">
        <v>475</v>
      </c>
      <c r="B31" s="10" t="s">
        <v>505</v>
      </c>
      <c r="C31" s="10" t="s">
        <v>506</v>
      </c>
      <c r="D31" s="11" t="s">
        <v>507</v>
      </c>
    </row>
    <row r="32" customFormat="false" ht="15" hidden="false" customHeight="false" outlineLevel="0" collapsed="false">
      <c r="A32" s="10" t="s">
        <v>475</v>
      </c>
      <c r="B32" s="10" t="s">
        <v>508</v>
      </c>
      <c r="C32" s="10" t="s">
        <v>495</v>
      </c>
      <c r="D32" s="11" t="s">
        <v>496</v>
      </c>
    </row>
    <row r="33" customFormat="false" ht="15" hidden="false" customHeight="false" outlineLevel="0" collapsed="false">
      <c r="A33" s="10" t="s">
        <v>475</v>
      </c>
      <c r="B33" s="10" t="s">
        <v>509</v>
      </c>
      <c r="C33" s="10" t="s">
        <v>495</v>
      </c>
      <c r="D33" s="11" t="s">
        <v>496</v>
      </c>
    </row>
    <row r="34" customFormat="false" ht="15" hidden="false" customHeight="false" outlineLevel="0" collapsed="false">
      <c r="A34" s="10" t="s">
        <v>475</v>
      </c>
      <c r="B34" s="10" t="s">
        <v>456</v>
      </c>
      <c r="C34" s="10" t="s">
        <v>510</v>
      </c>
      <c r="D34" s="11" t="s">
        <v>511</v>
      </c>
    </row>
    <row r="35" customFormat="false" ht="15" hidden="false" customHeight="false" outlineLevel="0" collapsed="false">
      <c r="A35" s="10" t="s">
        <v>475</v>
      </c>
      <c r="B35" s="10" t="s">
        <v>459</v>
      </c>
      <c r="C35" s="10" t="s">
        <v>512</v>
      </c>
      <c r="D35" s="11" t="s">
        <v>513</v>
      </c>
    </row>
    <row r="36" customFormat="false" ht="15" hidden="false" customHeight="false" outlineLevel="0" collapsed="false">
      <c r="A36" s="10" t="s">
        <v>475</v>
      </c>
      <c r="B36" s="10" t="s">
        <v>498</v>
      </c>
      <c r="C36" s="10" t="s">
        <v>512</v>
      </c>
      <c r="D36" s="11" t="s">
        <v>513</v>
      </c>
    </row>
    <row r="37" customFormat="false" ht="15" hidden="false" customHeight="false" outlineLevel="0" collapsed="false">
      <c r="A37" s="10" t="s">
        <v>475</v>
      </c>
      <c r="B37" s="10" t="s">
        <v>514</v>
      </c>
      <c r="C37" s="10" t="s">
        <v>510</v>
      </c>
      <c r="D37" s="11" t="s">
        <v>511</v>
      </c>
    </row>
    <row r="38" customFormat="false" ht="15" hidden="false" customHeight="false" outlineLevel="0" collapsed="false">
      <c r="A38" s="10" t="s">
        <v>475</v>
      </c>
      <c r="B38" s="10" t="s">
        <v>515</v>
      </c>
      <c r="C38" s="10" t="s">
        <v>516</v>
      </c>
      <c r="D38" s="11" t="s">
        <v>517</v>
      </c>
    </row>
    <row r="39" customFormat="false" ht="15" hidden="false" customHeight="false" outlineLevel="0" collapsed="false">
      <c r="A39" s="10" t="s">
        <v>475</v>
      </c>
      <c r="B39" s="10" t="s">
        <v>502</v>
      </c>
      <c r="C39" s="10" t="s">
        <v>516</v>
      </c>
      <c r="D39" s="11" t="s">
        <v>517</v>
      </c>
    </row>
    <row r="40" customFormat="false" ht="15" hidden="false" customHeight="false" outlineLevel="0" collapsed="false">
      <c r="A40" s="10" t="s">
        <v>475</v>
      </c>
      <c r="B40" s="10" t="s">
        <v>518</v>
      </c>
      <c r="C40" s="10" t="s">
        <v>516</v>
      </c>
      <c r="D40" s="11" t="s">
        <v>517</v>
      </c>
    </row>
    <row r="41" customFormat="false" ht="15" hidden="false" customHeight="false" outlineLevel="0" collapsed="false">
      <c r="A41" s="10" t="s">
        <v>475</v>
      </c>
      <c r="B41" s="10" t="s">
        <v>448</v>
      </c>
      <c r="C41" s="10" t="s">
        <v>519</v>
      </c>
      <c r="D41" s="11" t="s">
        <v>520</v>
      </c>
    </row>
    <row r="42" customFormat="false" ht="15" hidden="false" customHeight="false" outlineLevel="0" collapsed="false">
      <c r="A42" s="10" t="s">
        <v>475</v>
      </c>
      <c r="B42" s="10" t="s">
        <v>448</v>
      </c>
      <c r="C42" s="10" t="s">
        <v>521</v>
      </c>
      <c r="D42" s="11" t="s">
        <v>520</v>
      </c>
    </row>
    <row r="43" customFormat="false" ht="15" hidden="false" customHeight="false" outlineLevel="0" collapsed="false">
      <c r="A43" s="10" t="s">
        <v>475</v>
      </c>
      <c r="B43" s="10" t="s">
        <v>522</v>
      </c>
      <c r="C43" s="10" t="s">
        <v>519</v>
      </c>
      <c r="D43" s="11" t="s">
        <v>520</v>
      </c>
    </row>
    <row r="44" customFormat="false" ht="15" hidden="false" customHeight="false" outlineLevel="0" collapsed="false">
      <c r="A44" s="10" t="s">
        <v>475</v>
      </c>
      <c r="B44" s="10" t="s">
        <v>522</v>
      </c>
      <c r="C44" s="10" t="s">
        <v>521</v>
      </c>
      <c r="D44" s="11" t="s">
        <v>520</v>
      </c>
    </row>
    <row r="45" customFormat="false" ht="15" hidden="false" customHeight="false" outlineLevel="0" collapsed="false">
      <c r="A45" s="10" t="s">
        <v>475</v>
      </c>
      <c r="B45" s="10" t="s">
        <v>523</v>
      </c>
      <c r="C45" s="10" t="s">
        <v>524</v>
      </c>
      <c r="D45" s="11" t="s">
        <v>525</v>
      </c>
    </row>
    <row r="46" customFormat="false" ht="15" hidden="false" customHeight="false" outlineLevel="0" collapsed="false">
      <c r="A46" s="10" t="s">
        <v>475</v>
      </c>
      <c r="B46" s="10" t="s">
        <v>526</v>
      </c>
      <c r="C46" s="10" t="s">
        <v>527</v>
      </c>
      <c r="D46" s="11" t="s">
        <v>528</v>
      </c>
    </row>
    <row r="47" customFormat="false" ht="15" hidden="false" customHeight="false" outlineLevel="0" collapsed="false">
      <c r="A47" s="10" t="s">
        <v>475</v>
      </c>
      <c r="B47" s="10" t="s">
        <v>522</v>
      </c>
      <c r="C47" s="10" t="s">
        <v>529</v>
      </c>
      <c r="D47" s="11" t="s">
        <v>530</v>
      </c>
    </row>
    <row r="48" customFormat="false" ht="15" hidden="false" customHeight="false" outlineLevel="0" collapsed="false">
      <c r="A48" s="10" t="s">
        <v>475</v>
      </c>
      <c r="B48" s="10" t="s">
        <v>508</v>
      </c>
      <c r="C48" s="10" t="s">
        <v>531</v>
      </c>
      <c r="D48" s="11" t="s">
        <v>532</v>
      </c>
    </row>
    <row r="49" customFormat="false" ht="15" hidden="false" customHeight="false" outlineLevel="0" collapsed="false">
      <c r="A49" s="10" t="s">
        <v>475</v>
      </c>
      <c r="B49" s="10" t="s">
        <v>533</v>
      </c>
      <c r="C49" s="10" t="s">
        <v>534</v>
      </c>
      <c r="D49" s="11" t="s">
        <v>535</v>
      </c>
    </row>
    <row r="50" customFormat="false" ht="15" hidden="false" customHeight="false" outlineLevel="0" collapsed="false">
      <c r="A50" s="10" t="s">
        <v>475</v>
      </c>
      <c r="B50" s="10" t="s">
        <v>536</v>
      </c>
      <c r="C50" s="10" t="s">
        <v>537</v>
      </c>
      <c r="D50" s="11" t="s">
        <v>538</v>
      </c>
    </row>
    <row r="51" customFormat="false" ht="15" hidden="false" customHeight="false" outlineLevel="0" collapsed="false">
      <c r="A51" s="10" t="s">
        <v>475</v>
      </c>
      <c r="B51" s="10" t="s">
        <v>497</v>
      </c>
      <c r="C51" s="10" t="s">
        <v>539</v>
      </c>
      <c r="D51" s="11" t="s">
        <v>540</v>
      </c>
    </row>
    <row r="52" customFormat="false" ht="15" hidden="false" customHeight="false" outlineLevel="0" collapsed="false">
      <c r="A52" s="10" t="s">
        <v>475</v>
      </c>
      <c r="B52" s="10" t="s">
        <v>498</v>
      </c>
      <c r="C52" s="10" t="s">
        <v>541</v>
      </c>
      <c r="D52" s="11" t="s">
        <v>542</v>
      </c>
    </row>
    <row r="53" customFormat="false" ht="15" hidden="false" customHeight="false" outlineLevel="0" collapsed="false">
      <c r="A53" s="10" t="s">
        <v>475</v>
      </c>
      <c r="B53" s="10" t="s">
        <v>498</v>
      </c>
      <c r="C53" s="10" t="s">
        <v>543</v>
      </c>
      <c r="D53" s="11" t="s">
        <v>542</v>
      </c>
    </row>
    <row r="54" customFormat="false" ht="15" hidden="false" customHeight="false" outlineLevel="0" collapsed="false">
      <c r="A54" s="10" t="s">
        <v>475</v>
      </c>
      <c r="B54" s="10" t="s">
        <v>498</v>
      </c>
      <c r="C54" s="10" t="s">
        <v>544</v>
      </c>
      <c r="D54" s="11" t="s">
        <v>542</v>
      </c>
    </row>
    <row r="55" customFormat="false" ht="15" hidden="false" customHeight="false" outlineLevel="0" collapsed="false">
      <c r="A55" s="10" t="s">
        <v>475</v>
      </c>
      <c r="B55" s="10" t="s">
        <v>461</v>
      </c>
      <c r="C55" s="10" t="s">
        <v>545</v>
      </c>
      <c r="D55" s="11" t="s">
        <v>546</v>
      </c>
    </row>
    <row r="56" customFormat="false" ht="15" hidden="false" customHeight="false" outlineLevel="0" collapsed="false">
      <c r="A56" s="10" t="s">
        <v>475</v>
      </c>
      <c r="B56" s="10" t="s">
        <v>461</v>
      </c>
      <c r="C56" s="10" t="s">
        <v>547</v>
      </c>
      <c r="D56" s="11" t="s">
        <v>546</v>
      </c>
    </row>
    <row r="57" customFormat="false" ht="15" hidden="false" customHeight="false" outlineLevel="0" collapsed="false">
      <c r="A57" s="10" t="s">
        <v>475</v>
      </c>
      <c r="B57" s="10" t="s">
        <v>448</v>
      </c>
      <c r="C57" s="10" t="s">
        <v>548</v>
      </c>
      <c r="D57" s="11" t="s">
        <v>549</v>
      </c>
    </row>
    <row r="58" customFormat="false" ht="15" hidden="false" customHeight="false" outlineLevel="0" collapsed="false">
      <c r="A58" s="10" t="s">
        <v>475</v>
      </c>
      <c r="B58" s="10" t="s">
        <v>448</v>
      </c>
      <c r="C58" s="10" t="s">
        <v>550</v>
      </c>
      <c r="D58" s="11" t="s">
        <v>551</v>
      </c>
    </row>
    <row r="59" customFormat="false" ht="15" hidden="false" customHeight="false" outlineLevel="0" collapsed="false">
      <c r="A59" s="10" t="s">
        <v>475</v>
      </c>
      <c r="B59" s="10" t="s">
        <v>461</v>
      </c>
      <c r="C59" s="10" t="s">
        <v>552</v>
      </c>
      <c r="D59" s="11" t="s">
        <v>553</v>
      </c>
    </row>
    <row r="60" customFormat="false" ht="15" hidden="false" customHeight="false" outlineLevel="0" collapsed="false">
      <c r="A60" s="10" t="s">
        <v>475</v>
      </c>
      <c r="B60" s="10" t="s">
        <v>461</v>
      </c>
      <c r="C60" s="10" t="s">
        <v>554</v>
      </c>
      <c r="D60" s="11" t="s">
        <v>553</v>
      </c>
    </row>
    <row r="61" customFormat="false" ht="15" hidden="false" customHeight="false" outlineLevel="0" collapsed="false">
      <c r="A61" s="10" t="s">
        <v>475</v>
      </c>
      <c r="B61" s="10" t="s">
        <v>555</v>
      </c>
      <c r="C61" s="10" t="s">
        <v>552</v>
      </c>
      <c r="D61" s="11" t="s">
        <v>553</v>
      </c>
    </row>
    <row r="62" customFormat="false" ht="15" hidden="false" customHeight="false" outlineLevel="0" collapsed="false">
      <c r="A62" s="10" t="s">
        <v>475</v>
      </c>
      <c r="B62" s="10" t="s">
        <v>555</v>
      </c>
      <c r="C62" s="10" t="s">
        <v>554</v>
      </c>
      <c r="D62" s="11" t="s">
        <v>553</v>
      </c>
    </row>
    <row r="63" customFormat="false" ht="15" hidden="false" customHeight="false" outlineLevel="0" collapsed="false">
      <c r="A63" s="10" t="s">
        <v>475</v>
      </c>
      <c r="B63" s="10" t="s">
        <v>556</v>
      </c>
      <c r="C63" s="10" t="s">
        <v>557</v>
      </c>
      <c r="D63" s="11" t="s">
        <v>558</v>
      </c>
    </row>
    <row r="64" customFormat="false" ht="15" hidden="false" customHeight="false" outlineLevel="0" collapsed="false">
      <c r="A64" s="10" t="s">
        <v>475</v>
      </c>
      <c r="B64" s="10" t="s">
        <v>556</v>
      </c>
      <c r="C64" s="10" t="s">
        <v>559</v>
      </c>
      <c r="D64" s="11" t="s">
        <v>558</v>
      </c>
    </row>
    <row r="65" customFormat="false" ht="15" hidden="false" customHeight="false" outlineLevel="0" collapsed="false">
      <c r="A65" s="10" t="s">
        <v>475</v>
      </c>
      <c r="B65" s="10" t="s">
        <v>469</v>
      </c>
      <c r="C65" s="10" t="s">
        <v>560</v>
      </c>
      <c r="D65" s="11" t="s">
        <v>561</v>
      </c>
    </row>
    <row r="66" customFormat="false" ht="15" hidden="false" customHeight="false" outlineLevel="0" collapsed="false">
      <c r="A66" s="10" t="s">
        <v>475</v>
      </c>
      <c r="B66" s="10" t="s">
        <v>562</v>
      </c>
      <c r="C66" s="10" t="s">
        <v>563</v>
      </c>
      <c r="D66" s="11" t="s">
        <v>564</v>
      </c>
    </row>
    <row r="67" customFormat="false" ht="15" hidden="false" customHeight="false" outlineLevel="0" collapsed="false">
      <c r="A67" s="10" t="s">
        <v>475</v>
      </c>
      <c r="B67" s="10" t="s">
        <v>562</v>
      </c>
      <c r="C67" s="10" t="s">
        <v>565</v>
      </c>
      <c r="D67" s="11" t="s">
        <v>564</v>
      </c>
    </row>
    <row r="68" customFormat="false" ht="15" hidden="false" customHeight="false" outlineLevel="0" collapsed="false">
      <c r="A68" s="10" t="s">
        <v>475</v>
      </c>
      <c r="B68" s="10" t="s">
        <v>459</v>
      </c>
      <c r="C68" s="10" t="s">
        <v>566</v>
      </c>
      <c r="D68" s="11" t="s">
        <v>567</v>
      </c>
    </row>
    <row r="69" customFormat="false" ht="15" hidden="false" customHeight="false" outlineLevel="0" collapsed="false">
      <c r="A69" s="10" t="s">
        <v>475</v>
      </c>
      <c r="B69" s="10" t="s">
        <v>518</v>
      </c>
      <c r="C69" s="10" t="s">
        <v>568</v>
      </c>
      <c r="D69" s="11" t="s">
        <v>569</v>
      </c>
    </row>
    <row r="70" customFormat="false" ht="15" hidden="false" customHeight="false" outlineLevel="0" collapsed="false">
      <c r="A70" s="10" t="s">
        <v>475</v>
      </c>
      <c r="B70" s="10" t="s">
        <v>448</v>
      </c>
      <c r="C70" s="10" t="s">
        <v>570</v>
      </c>
      <c r="D70" s="11" t="s">
        <v>571</v>
      </c>
    </row>
    <row r="71" customFormat="false" ht="15" hidden="false" customHeight="false" outlineLevel="0" collapsed="false">
      <c r="A71" s="10" t="s">
        <v>475</v>
      </c>
      <c r="B71" s="10" t="s">
        <v>448</v>
      </c>
      <c r="C71" s="10" t="s">
        <v>572</v>
      </c>
      <c r="D71" s="11" t="s">
        <v>573</v>
      </c>
    </row>
    <row r="72" customFormat="false" ht="15" hidden="false" customHeight="false" outlineLevel="0" collapsed="false">
      <c r="A72" s="10" t="s">
        <v>475</v>
      </c>
      <c r="B72" s="10" t="s">
        <v>448</v>
      </c>
      <c r="C72" s="10" t="s">
        <v>574</v>
      </c>
      <c r="D72" s="11" t="s">
        <v>573</v>
      </c>
    </row>
    <row r="73" customFormat="false" ht="15" hidden="false" customHeight="false" outlineLevel="0" collapsed="false">
      <c r="A73" s="10" t="s">
        <v>475</v>
      </c>
      <c r="B73" s="10" t="s">
        <v>522</v>
      </c>
      <c r="C73" s="10" t="s">
        <v>572</v>
      </c>
      <c r="D73" s="11" t="s">
        <v>573</v>
      </c>
    </row>
    <row r="74" customFormat="false" ht="15" hidden="false" customHeight="false" outlineLevel="0" collapsed="false">
      <c r="A74" s="10" t="s">
        <v>475</v>
      </c>
      <c r="B74" s="10" t="s">
        <v>522</v>
      </c>
      <c r="C74" s="10" t="s">
        <v>574</v>
      </c>
      <c r="D74" s="11" t="s">
        <v>573</v>
      </c>
    </row>
    <row r="75" customFormat="false" ht="15" hidden="false" customHeight="false" outlineLevel="0" collapsed="false">
      <c r="A75" s="10" t="s">
        <v>475</v>
      </c>
      <c r="B75" s="10" t="s">
        <v>505</v>
      </c>
      <c r="C75" s="10" t="s">
        <v>575</v>
      </c>
      <c r="D75" s="11" t="s">
        <v>576</v>
      </c>
    </row>
    <row r="76" customFormat="false" ht="15" hidden="false" customHeight="false" outlineLevel="0" collapsed="false">
      <c r="A76" s="10" t="s">
        <v>475</v>
      </c>
      <c r="B76" s="10" t="s">
        <v>577</v>
      </c>
      <c r="C76" s="10" t="s">
        <v>578</v>
      </c>
      <c r="D76" s="11" t="s">
        <v>579</v>
      </c>
    </row>
    <row r="77" customFormat="false" ht="15" hidden="false" customHeight="false" outlineLevel="0" collapsed="false">
      <c r="A77" s="10" t="s">
        <v>475</v>
      </c>
      <c r="B77" s="10" t="s">
        <v>509</v>
      </c>
      <c r="C77" s="10" t="s">
        <v>580</v>
      </c>
      <c r="D77" s="11" t="s">
        <v>581</v>
      </c>
    </row>
    <row r="78" customFormat="false" ht="15" hidden="false" customHeight="false" outlineLevel="0" collapsed="false">
      <c r="A78" s="10" t="s">
        <v>475</v>
      </c>
      <c r="B78" s="10" t="s">
        <v>582</v>
      </c>
      <c r="C78" s="10" t="s">
        <v>583</v>
      </c>
      <c r="D78" s="11" t="s">
        <v>584</v>
      </c>
    </row>
    <row r="79" customFormat="false" ht="15" hidden="false" customHeight="false" outlineLevel="0" collapsed="false">
      <c r="A79" s="10" t="s">
        <v>475</v>
      </c>
      <c r="B79" s="10" t="s">
        <v>585</v>
      </c>
      <c r="C79" s="10" t="s">
        <v>586</v>
      </c>
      <c r="D79" s="11" t="s">
        <v>587</v>
      </c>
    </row>
    <row r="80" customFormat="false" ht="15" hidden="false" customHeight="false" outlineLevel="0" collapsed="false">
      <c r="A80" s="10" t="s">
        <v>475</v>
      </c>
      <c r="B80" s="10" t="s">
        <v>491</v>
      </c>
      <c r="C80" s="10" t="s">
        <v>588</v>
      </c>
      <c r="D80" s="11" t="s">
        <v>589</v>
      </c>
    </row>
    <row r="81" customFormat="false" ht="15" hidden="false" customHeight="false" outlineLevel="0" collapsed="false">
      <c r="A81" s="10" t="s">
        <v>475</v>
      </c>
      <c r="B81" s="10" t="s">
        <v>590</v>
      </c>
      <c r="C81" s="10" t="s">
        <v>591</v>
      </c>
      <c r="D81" s="11" t="s">
        <v>592</v>
      </c>
    </row>
    <row r="82" customFormat="false" ht="15" hidden="false" customHeight="false" outlineLevel="0" collapsed="false">
      <c r="A82" s="10" t="s">
        <v>475</v>
      </c>
      <c r="B82" s="10" t="s">
        <v>533</v>
      </c>
      <c r="C82" s="10" t="s">
        <v>593</v>
      </c>
      <c r="D82" s="11" t="s">
        <v>594</v>
      </c>
    </row>
    <row r="83" customFormat="false" ht="15" hidden="false" customHeight="false" outlineLevel="0" collapsed="false">
      <c r="A83" s="10" t="s">
        <v>475</v>
      </c>
      <c r="B83" s="10" t="s">
        <v>595</v>
      </c>
      <c r="C83" s="10" t="s">
        <v>596</v>
      </c>
      <c r="D83" s="11" t="s">
        <v>597</v>
      </c>
    </row>
    <row r="84" customFormat="false" ht="15" hidden="false" customHeight="false" outlineLevel="0" collapsed="false">
      <c r="A84" s="10" t="s">
        <v>475</v>
      </c>
      <c r="B84" s="10" t="s">
        <v>598</v>
      </c>
      <c r="C84" s="10" t="s">
        <v>599</v>
      </c>
      <c r="D84" s="11" t="s">
        <v>600</v>
      </c>
    </row>
    <row r="85" customFormat="false" ht="15" hidden="false" customHeight="false" outlineLevel="0" collapsed="false">
      <c r="A85" s="10" t="s">
        <v>475</v>
      </c>
      <c r="B85" s="10" t="s">
        <v>601</v>
      </c>
      <c r="C85" s="10" t="s">
        <v>602</v>
      </c>
      <c r="D85" s="11" t="s">
        <v>603</v>
      </c>
    </row>
    <row r="86" customFormat="false" ht="15" hidden="false" customHeight="false" outlineLevel="0" collapsed="false">
      <c r="A86" s="10" t="s">
        <v>475</v>
      </c>
      <c r="B86" s="10" t="s">
        <v>504</v>
      </c>
      <c r="C86" s="10" t="s">
        <v>604</v>
      </c>
      <c r="D86" s="11" t="s">
        <v>605</v>
      </c>
    </row>
    <row r="87" customFormat="false" ht="15" hidden="false" customHeight="false" outlineLevel="0" collapsed="false">
      <c r="A87" s="10" t="s">
        <v>475</v>
      </c>
      <c r="B87" s="10" t="s">
        <v>601</v>
      </c>
      <c r="C87" s="10" t="s">
        <v>606</v>
      </c>
      <c r="D87" s="11" t="s">
        <v>607</v>
      </c>
    </row>
    <row r="88" customFormat="false" ht="15" hidden="false" customHeight="false" outlineLevel="0" collapsed="false">
      <c r="A88" s="10" t="s">
        <v>475</v>
      </c>
      <c r="B88" s="10" t="s">
        <v>608</v>
      </c>
      <c r="C88" s="10" t="s">
        <v>609</v>
      </c>
      <c r="D88" s="11" t="s">
        <v>610</v>
      </c>
    </row>
    <row r="89" customFormat="false" ht="15" hidden="false" customHeight="false" outlineLevel="0" collapsed="false">
      <c r="A89" s="10" t="s">
        <v>475</v>
      </c>
      <c r="B89" s="10" t="s">
        <v>487</v>
      </c>
      <c r="C89" s="10" t="s">
        <v>611</v>
      </c>
      <c r="D89" s="11" t="s">
        <v>612</v>
      </c>
    </row>
    <row r="90" customFormat="false" ht="15" hidden="false" customHeight="false" outlineLevel="0" collapsed="false">
      <c r="A90" s="10" t="s">
        <v>475</v>
      </c>
      <c r="B90" s="10" t="s">
        <v>487</v>
      </c>
      <c r="C90" s="10" t="s">
        <v>613</v>
      </c>
      <c r="D90" s="11" t="s">
        <v>612</v>
      </c>
    </row>
    <row r="91" customFormat="false" ht="15" hidden="false" customHeight="false" outlineLevel="0" collapsed="false">
      <c r="A91" s="10" t="s">
        <v>475</v>
      </c>
      <c r="B91" s="10" t="s">
        <v>487</v>
      </c>
      <c r="C91" s="10" t="s">
        <v>614</v>
      </c>
      <c r="D91" s="11" t="s">
        <v>612</v>
      </c>
    </row>
    <row r="92" customFormat="false" ht="15" hidden="false" customHeight="false" outlineLevel="0" collapsed="false">
      <c r="A92" s="10" t="s">
        <v>475</v>
      </c>
      <c r="B92" s="10" t="s">
        <v>615</v>
      </c>
      <c r="C92" s="10" t="s">
        <v>616</v>
      </c>
      <c r="D92" s="11" t="s">
        <v>617</v>
      </c>
    </row>
    <row r="93" customFormat="false" ht="15" hidden="false" customHeight="false" outlineLevel="0" collapsed="false">
      <c r="A93" s="10" t="s">
        <v>475</v>
      </c>
      <c r="B93" s="10" t="s">
        <v>533</v>
      </c>
      <c r="C93" s="10" t="s">
        <v>618</v>
      </c>
      <c r="D93" s="11" t="s">
        <v>619</v>
      </c>
    </row>
    <row r="94" customFormat="false" ht="15" hidden="false" customHeight="false" outlineLevel="0" collapsed="false">
      <c r="A94" s="10" t="s">
        <v>475</v>
      </c>
      <c r="B94" s="10" t="s">
        <v>487</v>
      </c>
      <c r="C94" s="10" t="s">
        <v>620</v>
      </c>
      <c r="D94" s="11" t="s">
        <v>621</v>
      </c>
    </row>
    <row r="95" customFormat="false" ht="15" hidden="false" customHeight="false" outlineLevel="0" collapsed="false">
      <c r="A95" s="10" t="s">
        <v>475</v>
      </c>
      <c r="B95" s="10" t="s">
        <v>582</v>
      </c>
      <c r="C95" s="10" t="s">
        <v>620</v>
      </c>
      <c r="D95" s="11" t="s">
        <v>621</v>
      </c>
    </row>
    <row r="96" customFormat="false" ht="15" hidden="false" customHeight="false" outlineLevel="0" collapsed="false">
      <c r="A96" s="10" t="s">
        <v>475</v>
      </c>
      <c r="B96" s="10" t="s">
        <v>622</v>
      </c>
      <c r="C96" s="10" t="s">
        <v>620</v>
      </c>
      <c r="D96" s="11" t="s">
        <v>621</v>
      </c>
    </row>
    <row r="97" customFormat="false" ht="15" hidden="false" customHeight="false" outlineLevel="0" collapsed="false">
      <c r="A97" s="10" t="s">
        <v>475</v>
      </c>
      <c r="B97" s="10" t="s">
        <v>615</v>
      </c>
      <c r="C97" s="10" t="s">
        <v>620</v>
      </c>
      <c r="D97" s="11" t="s">
        <v>621</v>
      </c>
    </row>
    <row r="98" customFormat="false" ht="15" hidden="false" customHeight="false" outlineLevel="0" collapsed="false">
      <c r="A98" s="10" t="s">
        <v>475</v>
      </c>
      <c r="B98" s="10" t="s">
        <v>623</v>
      </c>
      <c r="C98" s="10" t="s">
        <v>620</v>
      </c>
      <c r="D98" s="11" t="s">
        <v>621</v>
      </c>
    </row>
    <row r="99" customFormat="false" ht="15" hidden="false" customHeight="false" outlineLevel="0" collapsed="false">
      <c r="A99" s="10" t="s">
        <v>475</v>
      </c>
      <c r="B99" s="10" t="s">
        <v>624</v>
      </c>
      <c r="C99" s="10" t="s">
        <v>625</v>
      </c>
      <c r="D99" s="11" t="s">
        <v>626</v>
      </c>
    </row>
    <row r="100" customFormat="false" ht="15" hidden="false" customHeight="false" outlineLevel="0" collapsed="false">
      <c r="A100" s="10" t="s">
        <v>475</v>
      </c>
      <c r="B100" s="10" t="s">
        <v>448</v>
      </c>
      <c r="C100" s="10" t="s">
        <v>627</v>
      </c>
      <c r="D100" s="11" t="s">
        <v>628</v>
      </c>
    </row>
    <row r="101" customFormat="false" ht="15" hidden="false" customHeight="false" outlineLevel="0" collapsed="false">
      <c r="A101" s="10" t="s">
        <v>475</v>
      </c>
      <c r="B101" s="10" t="s">
        <v>629</v>
      </c>
      <c r="C101" s="10" t="s">
        <v>630</v>
      </c>
      <c r="D101" s="11" t="s">
        <v>631</v>
      </c>
    </row>
    <row r="102" customFormat="false" ht="15" hidden="false" customHeight="false" outlineLevel="0" collapsed="false">
      <c r="A102" s="10" t="s">
        <v>475</v>
      </c>
      <c r="B102" s="10" t="s">
        <v>632</v>
      </c>
      <c r="C102" s="10" t="s">
        <v>633</v>
      </c>
      <c r="D102" s="11" t="s">
        <v>634</v>
      </c>
    </row>
    <row r="103" customFormat="false" ht="15" hidden="false" customHeight="false" outlineLevel="0" collapsed="false">
      <c r="A103" s="10" t="s">
        <v>475</v>
      </c>
      <c r="B103" s="10" t="s">
        <v>459</v>
      </c>
      <c r="C103" s="10" t="s">
        <v>635</v>
      </c>
      <c r="D103" s="11" t="s">
        <v>636</v>
      </c>
    </row>
    <row r="104" customFormat="false" ht="15" hidden="false" customHeight="false" outlineLevel="0" collapsed="false">
      <c r="A104" s="10" t="s">
        <v>475</v>
      </c>
      <c r="B104" s="10" t="s">
        <v>459</v>
      </c>
      <c r="C104" s="10" t="s">
        <v>637</v>
      </c>
      <c r="D104" s="11" t="s">
        <v>638</v>
      </c>
    </row>
    <row r="105" customFormat="false" ht="15" hidden="false" customHeight="false" outlineLevel="0" collapsed="false">
      <c r="A105" s="10" t="s">
        <v>475</v>
      </c>
      <c r="B105" s="10" t="s">
        <v>522</v>
      </c>
      <c r="C105" s="10" t="s">
        <v>639</v>
      </c>
      <c r="D105" s="11" t="s">
        <v>640</v>
      </c>
    </row>
    <row r="106" customFormat="false" ht="15" hidden="false" customHeight="false" outlineLevel="0" collapsed="false">
      <c r="A106" s="10" t="s">
        <v>475</v>
      </c>
      <c r="B106" s="10" t="s">
        <v>522</v>
      </c>
      <c r="C106" s="10" t="s">
        <v>641</v>
      </c>
      <c r="D106" s="11" t="s">
        <v>640</v>
      </c>
    </row>
    <row r="107" customFormat="false" ht="15" hidden="false" customHeight="false" outlineLevel="0" collapsed="false">
      <c r="A107" s="10" t="s">
        <v>475</v>
      </c>
      <c r="B107" s="10" t="s">
        <v>642</v>
      </c>
      <c r="C107" s="10" t="s">
        <v>643</v>
      </c>
      <c r="D107" s="11" t="s">
        <v>644</v>
      </c>
    </row>
    <row r="108" customFormat="false" ht="15" hidden="false" customHeight="false" outlineLevel="0" collapsed="false">
      <c r="A108" s="10" t="s">
        <v>475</v>
      </c>
      <c r="B108" s="10" t="s">
        <v>645</v>
      </c>
      <c r="C108" s="10" t="s">
        <v>646</v>
      </c>
      <c r="D108" s="11" t="s">
        <v>647</v>
      </c>
    </row>
    <row r="109" customFormat="false" ht="15" hidden="false" customHeight="false" outlineLevel="0" collapsed="false">
      <c r="A109" s="10" t="s">
        <v>475</v>
      </c>
      <c r="B109" s="10" t="s">
        <v>648</v>
      </c>
      <c r="C109" s="10" t="s">
        <v>649</v>
      </c>
      <c r="D109" s="11" t="s">
        <v>650</v>
      </c>
    </row>
    <row r="110" customFormat="false" ht="15" hidden="false" customHeight="false" outlineLevel="0" collapsed="false">
      <c r="A110" s="10" t="s">
        <v>475</v>
      </c>
      <c r="B110" s="10" t="s">
        <v>648</v>
      </c>
      <c r="C110" s="10" t="s">
        <v>651</v>
      </c>
      <c r="D110" s="11" t="s">
        <v>650</v>
      </c>
    </row>
    <row r="111" customFormat="false" ht="15" hidden="false" customHeight="false" outlineLevel="0" collapsed="false">
      <c r="A111" s="10" t="s">
        <v>475</v>
      </c>
      <c r="B111" s="10" t="s">
        <v>648</v>
      </c>
      <c r="C111" s="10" t="s">
        <v>652</v>
      </c>
      <c r="D111" s="11" t="s">
        <v>650</v>
      </c>
    </row>
    <row r="112" customFormat="false" ht="15" hidden="false" customHeight="false" outlineLevel="0" collapsed="false">
      <c r="A112" s="10" t="s">
        <v>475</v>
      </c>
      <c r="B112" s="10" t="s">
        <v>653</v>
      </c>
      <c r="C112" s="10" t="s">
        <v>649</v>
      </c>
      <c r="D112" s="11" t="s">
        <v>650</v>
      </c>
    </row>
    <row r="113" customFormat="false" ht="15" hidden="false" customHeight="false" outlineLevel="0" collapsed="false">
      <c r="A113" s="10" t="s">
        <v>475</v>
      </c>
      <c r="B113" s="10" t="s">
        <v>653</v>
      </c>
      <c r="C113" s="10" t="s">
        <v>651</v>
      </c>
      <c r="D113" s="11" t="s">
        <v>650</v>
      </c>
    </row>
    <row r="114" customFormat="false" ht="15" hidden="false" customHeight="false" outlineLevel="0" collapsed="false">
      <c r="A114" s="10" t="s">
        <v>475</v>
      </c>
      <c r="B114" s="10" t="s">
        <v>653</v>
      </c>
      <c r="C114" s="10" t="s">
        <v>652</v>
      </c>
      <c r="D114" s="11" t="s">
        <v>650</v>
      </c>
    </row>
    <row r="115" customFormat="false" ht="15" hidden="false" customHeight="false" outlineLevel="0" collapsed="false">
      <c r="A115" s="10" t="s">
        <v>475</v>
      </c>
      <c r="B115" s="10" t="s">
        <v>500</v>
      </c>
      <c r="C115" s="10" t="s">
        <v>649</v>
      </c>
      <c r="D115" s="11" t="s">
        <v>650</v>
      </c>
    </row>
    <row r="116" customFormat="false" ht="15" hidden="false" customHeight="false" outlineLevel="0" collapsed="false">
      <c r="A116" s="10" t="s">
        <v>475</v>
      </c>
      <c r="B116" s="10" t="s">
        <v>500</v>
      </c>
      <c r="C116" s="10" t="s">
        <v>651</v>
      </c>
      <c r="D116" s="11" t="s">
        <v>650</v>
      </c>
    </row>
    <row r="117" customFormat="false" ht="15" hidden="false" customHeight="false" outlineLevel="0" collapsed="false">
      <c r="A117" s="10" t="s">
        <v>475</v>
      </c>
      <c r="B117" s="10" t="s">
        <v>500</v>
      </c>
      <c r="C117" s="10" t="s">
        <v>652</v>
      </c>
      <c r="D117" s="11" t="s">
        <v>650</v>
      </c>
    </row>
    <row r="118" customFormat="false" ht="15" hidden="false" customHeight="false" outlineLevel="0" collapsed="false">
      <c r="A118" s="10" t="s">
        <v>475</v>
      </c>
      <c r="B118" s="10" t="s">
        <v>654</v>
      </c>
      <c r="C118" s="10" t="s">
        <v>655</v>
      </c>
      <c r="D118" s="11" t="s">
        <v>656</v>
      </c>
    </row>
    <row r="119" customFormat="false" ht="15" hidden="false" customHeight="false" outlineLevel="0" collapsed="false">
      <c r="A119" s="10" t="s">
        <v>475</v>
      </c>
      <c r="B119" s="10" t="s">
        <v>657</v>
      </c>
      <c r="C119" s="10" t="s">
        <v>658</v>
      </c>
      <c r="D119" s="11" t="s">
        <v>659</v>
      </c>
    </row>
    <row r="120" customFormat="false" ht="15" hidden="false" customHeight="false" outlineLevel="0" collapsed="false">
      <c r="A120" s="10" t="s">
        <v>475</v>
      </c>
      <c r="B120" s="10" t="s">
        <v>660</v>
      </c>
      <c r="C120" s="10" t="s">
        <v>661</v>
      </c>
      <c r="D120" s="11" t="s">
        <v>662</v>
      </c>
    </row>
    <row r="121" customFormat="false" ht="15" hidden="false" customHeight="false" outlineLevel="0" collapsed="false">
      <c r="A121" s="10" t="s">
        <v>475</v>
      </c>
      <c r="B121" s="10" t="s">
        <v>660</v>
      </c>
      <c r="C121" s="10" t="s">
        <v>663</v>
      </c>
      <c r="D121" s="11" t="s">
        <v>662</v>
      </c>
    </row>
    <row r="122" customFormat="false" ht="15" hidden="false" customHeight="false" outlineLevel="0" collapsed="false">
      <c r="A122" s="10" t="s">
        <v>475</v>
      </c>
      <c r="B122" s="10" t="s">
        <v>664</v>
      </c>
      <c r="C122" s="10" t="s">
        <v>665</v>
      </c>
      <c r="D122" s="11" t="s">
        <v>666</v>
      </c>
    </row>
    <row r="123" customFormat="false" ht="15" hidden="false" customHeight="false" outlineLevel="0" collapsed="false">
      <c r="A123" s="10" t="s">
        <v>475</v>
      </c>
      <c r="B123" s="10" t="s">
        <v>667</v>
      </c>
      <c r="C123" s="10" t="s">
        <v>668</v>
      </c>
      <c r="D123" s="11" t="s">
        <v>669</v>
      </c>
    </row>
    <row r="124" customFormat="false" ht="15" hidden="false" customHeight="false" outlineLevel="0" collapsed="false">
      <c r="A124" s="10" t="s">
        <v>475</v>
      </c>
      <c r="B124" s="10" t="s">
        <v>670</v>
      </c>
      <c r="C124" s="10" t="s">
        <v>671</v>
      </c>
      <c r="D124" s="11" t="s">
        <v>672</v>
      </c>
    </row>
    <row r="125" customFormat="false" ht="15" hidden="false" customHeight="false" outlineLevel="0" collapsed="false">
      <c r="A125" s="10" t="s">
        <v>475</v>
      </c>
      <c r="B125" s="10" t="s">
        <v>505</v>
      </c>
      <c r="C125" s="10" t="s">
        <v>673</v>
      </c>
      <c r="D125" s="11" t="s">
        <v>674</v>
      </c>
    </row>
    <row r="126" customFormat="false" ht="15" hidden="false" customHeight="false" outlineLevel="0" collapsed="false">
      <c r="A126" s="10" t="s">
        <v>475</v>
      </c>
      <c r="B126" s="10" t="s">
        <v>505</v>
      </c>
      <c r="C126" s="10" t="s">
        <v>675</v>
      </c>
      <c r="D126" s="11" t="s">
        <v>674</v>
      </c>
    </row>
    <row r="127" customFormat="false" ht="15" hidden="false" customHeight="false" outlineLevel="0" collapsed="false">
      <c r="A127" s="10" t="s">
        <v>475</v>
      </c>
      <c r="B127" s="10" t="s">
        <v>676</v>
      </c>
      <c r="C127" s="10" t="s">
        <v>677</v>
      </c>
      <c r="D127" s="11" t="s">
        <v>678</v>
      </c>
    </row>
    <row r="128" customFormat="false" ht="15" hidden="false" customHeight="false" outlineLevel="0" collapsed="false">
      <c r="A128" s="10" t="s">
        <v>475</v>
      </c>
      <c r="B128" s="10" t="s">
        <v>676</v>
      </c>
      <c r="C128" s="10" t="s">
        <v>679</v>
      </c>
      <c r="D128" s="11" t="s">
        <v>678</v>
      </c>
    </row>
    <row r="129" customFormat="false" ht="15" hidden="false" customHeight="false" outlineLevel="0" collapsed="false">
      <c r="A129" s="10" t="s">
        <v>475</v>
      </c>
      <c r="B129" s="10" t="s">
        <v>676</v>
      </c>
      <c r="C129" s="10" t="s">
        <v>680</v>
      </c>
      <c r="D129" s="11" t="s">
        <v>678</v>
      </c>
    </row>
    <row r="130" customFormat="false" ht="15" hidden="false" customHeight="false" outlineLevel="0" collapsed="false">
      <c r="A130" s="10" t="s">
        <v>475</v>
      </c>
      <c r="B130" s="10" t="s">
        <v>556</v>
      </c>
      <c r="C130" s="10" t="s">
        <v>681</v>
      </c>
      <c r="D130" s="11" t="s">
        <v>682</v>
      </c>
    </row>
    <row r="131" customFormat="false" ht="15" hidden="false" customHeight="false" outlineLevel="0" collapsed="false">
      <c r="A131" s="10" t="s">
        <v>475</v>
      </c>
      <c r="B131" s="10" t="s">
        <v>518</v>
      </c>
      <c r="C131" s="10" t="s">
        <v>683</v>
      </c>
      <c r="D131" s="11" t="s">
        <v>684</v>
      </c>
    </row>
    <row r="132" customFormat="false" ht="15" hidden="false" customHeight="false" outlineLevel="0" collapsed="false">
      <c r="A132" s="10" t="s">
        <v>475</v>
      </c>
      <c r="B132" s="10" t="s">
        <v>518</v>
      </c>
      <c r="C132" s="10" t="s">
        <v>685</v>
      </c>
      <c r="D132" s="11" t="s">
        <v>684</v>
      </c>
    </row>
    <row r="133" customFormat="false" ht="15" hidden="false" customHeight="false" outlineLevel="0" collapsed="false">
      <c r="A133" s="10" t="s">
        <v>475</v>
      </c>
      <c r="B133" s="10" t="s">
        <v>518</v>
      </c>
      <c r="C133" s="10" t="s">
        <v>686</v>
      </c>
      <c r="D133" s="11" t="s">
        <v>684</v>
      </c>
    </row>
    <row r="134" customFormat="false" ht="15" hidden="false" customHeight="false" outlineLevel="0" collapsed="false">
      <c r="A134" s="10" t="s">
        <v>475</v>
      </c>
      <c r="B134" s="10" t="s">
        <v>598</v>
      </c>
      <c r="C134" s="10" t="s">
        <v>687</v>
      </c>
      <c r="D134" s="11" t="s">
        <v>688</v>
      </c>
    </row>
    <row r="135" customFormat="false" ht="15" hidden="false" customHeight="false" outlineLevel="0" collapsed="false">
      <c r="A135" s="10" t="s">
        <v>475</v>
      </c>
      <c r="B135" s="10" t="s">
        <v>623</v>
      </c>
      <c r="C135" s="10" t="s">
        <v>683</v>
      </c>
      <c r="D135" s="11" t="s">
        <v>684</v>
      </c>
    </row>
    <row r="136" customFormat="false" ht="15" hidden="false" customHeight="false" outlineLevel="0" collapsed="false">
      <c r="A136" s="10" t="s">
        <v>475</v>
      </c>
      <c r="B136" s="10" t="s">
        <v>623</v>
      </c>
      <c r="C136" s="10" t="s">
        <v>685</v>
      </c>
      <c r="D136" s="11" t="s">
        <v>684</v>
      </c>
    </row>
    <row r="137" customFormat="false" ht="15" hidden="false" customHeight="false" outlineLevel="0" collapsed="false">
      <c r="A137" s="10" t="s">
        <v>475</v>
      </c>
      <c r="B137" s="10" t="s">
        <v>623</v>
      </c>
      <c r="C137" s="10" t="s">
        <v>686</v>
      </c>
      <c r="D137" s="11" t="s">
        <v>684</v>
      </c>
    </row>
    <row r="138" customFormat="false" ht="15" hidden="false" customHeight="false" outlineLevel="0" collapsed="false">
      <c r="A138" s="10" t="s">
        <v>475</v>
      </c>
      <c r="B138" s="10" t="s">
        <v>500</v>
      </c>
      <c r="C138" s="10" t="s">
        <v>689</v>
      </c>
      <c r="D138" s="11" t="s">
        <v>690</v>
      </c>
    </row>
    <row r="139" customFormat="false" ht="15" hidden="false" customHeight="false" outlineLevel="0" collapsed="false">
      <c r="A139" s="10" t="s">
        <v>475</v>
      </c>
      <c r="B139" s="10" t="s">
        <v>500</v>
      </c>
      <c r="C139" s="10" t="s">
        <v>691</v>
      </c>
      <c r="D139" s="11" t="s">
        <v>690</v>
      </c>
    </row>
    <row r="140" customFormat="false" ht="15" hidden="false" customHeight="false" outlineLevel="0" collapsed="false">
      <c r="A140" s="10" t="s">
        <v>475</v>
      </c>
      <c r="B140" s="10" t="s">
        <v>459</v>
      </c>
      <c r="C140" s="10" t="s">
        <v>692</v>
      </c>
      <c r="D140" s="11" t="s">
        <v>693</v>
      </c>
    </row>
    <row r="141" customFormat="false" ht="15" hidden="false" customHeight="false" outlineLevel="0" collapsed="false">
      <c r="A141" s="10" t="s">
        <v>475</v>
      </c>
      <c r="B141" s="10" t="s">
        <v>498</v>
      </c>
      <c r="C141" s="10" t="s">
        <v>692</v>
      </c>
      <c r="D141" s="11" t="s">
        <v>693</v>
      </c>
    </row>
    <row r="142" customFormat="false" ht="15" hidden="false" customHeight="false" outlineLevel="0" collapsed="false">
      <c r="A142" s="10" t="s">
        <v>475</v>
      </c>
      <c r="B142" s="10" t="s">
        <v>694</v>
      </c>
      <c r="C142" s="10" t="s">
        <v>695</v>
      </c>
      <c r="D142" s="11" t="s">
        <v>696</v>
      </c>
    </row>
    <row r="143" customFormat="false" ht="15" hidden="false" customHeight="false" outlineLevel="0" collapsed="false">
      <c r="A143" s="10" t="s">
        <v>475</v>
      </c>
      <c r="B143" s="10" t="s">
        <v>697</v>
      </c>
      <c r="C143" s="10" t="s">
        <v>695</v>
      </c>
      <c r="D143" s="11" t="s">
        <v>696</v>
      </c>
    </row>
    <row r="144" customFormat="false" ht="15" hidden="false" customHeight="false" outlineLevel="0" collapsed="false">
      <c r="A144" s="10" t="s">
        <v>475</v>
      </c>
      <c r="B144" s="10" t="s">
        <v>698</v>
      </c>
      <c r="C144" s="10" t="s">
        <v>695</v>
      </c>
      <c r="D144" s="11" t="s">
        <v>696</v>
      </c>
    </row>
    <row r="145" customFormat="false" ht="15" hidden="false" customHeight="false" outlineLevel="0" collapsed="false">
      <c r="A145" s="10" t="s">
        <v>475</v>
      </c>
      <c r="B145" s="10" t="s">
        <v>448</v>
      </c>
      <c r="C145" s="10" t="s">
        <v>699</v>
      </c>
      <c r="D145" s="11" t="s">
        <v>700</v>
      </c>
    </row>
    <row r="146" customFormat="false" ht="15" hidden="false" customHeight="false" outlineLevel="0" collapsed="false">
      <c r="A146" s="10" t="s">
        <v>475</v>
      </c>
      <c r="B146" s="10" t="s">
        <v>448</v>
      </c>
      <c r="C146" s="10" t="s">
        <v>701</v>
      </c>
      <c r="D146" s="11" t="s">
        <v>700</v>
      </c>
    </row>
    <row r="147" customFormat="false" ht="15" hidden="false" customHeight="false" outlineLevel="0" collapsed="false">
      <c r="A147" s="10" t="s">
        <v>475</v>
      </c>
      <c r="B147" s="10" t="s">
        <v>448</v>
      </c>
      <c r="C147" s="10" t="s">
        <v>702</v>
      </c>
      <c r="D147" s="11" t="s">
        <v>700</v>
      </c>
    </row>
    <row r="148" customFormat="false" ht="15" hidden="false" customHeight="false" outlineLevel="0" collapsed="false">
      <c r="A148" s="10" t="s">
        <v>475</v>
      </c>
      <c r="B148" s="10" t="s">
        <v>472</v>
      </c>
      <c r="C148" s="10" t="s">
        <v>703</v>
      </c>
      <c r="D148" s="11" t="s">
        <v>704</v>
      </c>
    </row>
    <row r="149" customFormat="false" ht="15" hidden="false" customHeight="false" outlineLevel="0" collapsed="false">
      <c r="A149" s="10" t="s">
        <v>475</v>
      </c>
      <c r="B149" s="10" t="s">
        <v>472</v>
      </c>
      <c r="C149" s="10" t="s">
        <v>705</v>
      </c>
      <c r="D149" s="11" t="s">
        <v>704</v>
      </c>
    </row>
    <row r="150" customFormat="false" ht="15" hidden="false" customHeight="false" outlineLevel="0" collapsed="false">
      <c r="A150" s="10" t="s">
        <v>475</v>
      </c>
      <c r="B150" s="10" t="s">
        <v>629</v>
      </c>
      <c r="C150" s="10" t="s">
        <v>706</v>
      </c>
      <c r="D150" s="11" t="s">
        <v>707</v>
      </c>
    </row>
    <row r="151" customFormat="false" ht="15" hidden="false" customHeight="false" outlineLevel="0" collapsed="false">
      <c r="A151" s="10" t="s">
        <v>475</v>
      </c>
      <c r="B151" s="10" t="s">
        <v>708</v>
      </c>
      <c r="C151" s="10" t="s">
        <v>709</v>
      </c>
      <c r="D151" s="11" t="s">
        <v>710</v>
      </c>
    </row>
    <row r="152" customFormat="false" ht="15" hidden="false" customHeight="false" outlineLevel="0" collapsed="false">
      <c r="A152" s="10" t="s">
        <v>475</v>
      </c>
      <c r="B152" s="10" t="s">
        <v>708</v>
      </c>
      <c r="C152" s="10" t="s">
        <v>711</v>
      </c>
      <c r="D152" s="11" t="s">
        <v>710</v>
      </c>
    </row>
    <row r="153" customFormat="false" ht="15" hidden="false" customHeight="false" outlineLevel="0" collapsed="false">
      <c r="A153" s="10" t="s">
        <v>475</v>
      </c>
      <c r="B153" s="10" t="s">
        <v>712</v>
      </c>
      <c r="C153" s="10" t="s">
        <v>713</v>
      </c>
      <c r="D153" s="11" t="s">
        <v>714</v>
      </c>
    </row>
    <row r="154" customFormat="false" ht="15" hidden="false" customHeight="false" outlineLevel="0" collapsed="false">
      <c r="A154" s="10" t="s">
        <v>475</v>
      </c>
      <c r="B154" s="10" t="s">
        <v>712</v>
      </c>
      <c r="C154" s="10" t="s">
        <v>715</v>
      </c>
      <c r="D154" s="11" t="s">
        <v>714</v>
      </c>
    </row>
    <row r="155" customFormat="false" ht="15" hidden="false" customHeight="false" outlineLevel="0" collapsed="false">
      <c r="A155" s="10" t="s">
        <v>475</v>
      </c>
      <c r="B155" s="10" t="s">
        <v>670</v>
      </c>
      <c r="C155" s="10" t="s">
        <v>713</v>
      </c>
      <c r="D155" s="11" t="s">
        <v>714</v>
      </c>
    </row>
    <row r="156" customFormat="false" ht="15" hidden="false" customHeight="false" outlineLevel="0" collapsed="false">
      <c r="A156" s="10" t="s">
        <v>475</v>
      </c>
      <c r="B156" s="10" t="s">
        <v>670</v>
      </c>
      <c r="C156" s="10" t="s">
        <v>715</v>
      </c>
      <c r="D156" s="11" t="s">
        <v>714</v>
      </c>
    </row>
    <row r="157" customFormat="false" ht="15" hidden="false" customHeight="false" outlineLevel="0" collapsed="false">
      <c r="A157" s="10" t="s">
        <v>475</v>
      </c>
      <c r="B157" s="10" t="s">
        <v>508</v>
      </c>
      <c r="C157" s="10" t="s">
        <v>716</v>
      </c>
      <c r="D157" s="11" t="s">
        <v>717</v>
      </c>
    </row>
    <row r="158" customFormat="false" ht="15" hidden="false" customHeight="false" outlineLevel="0" collapsed="false">
      <c r="A158" s="10" t="s">
        <v>475</v>
      </c>
      <c r="B158" s="10" t="s">
        <v>469</v>
      </c>
      <c r="C158" s="10" t="s">
        <v>718</v>
      </c>
      <c r="D158" s="11" t="s">
        <v>719</v>
      </c>
    </row>
    <row r="159" customFormat="false" ht="15" hidden="false" customHeight="false" outlineLevel="0" collapsed="false">
      <c r="A159" s="10" t="s">
        <v>475</v>
      </c>
      <c r="B159" s="10" t="s">
        <v>445</v>
      </c>
      <c r="C159" s="10" t="s">
        <v>720</v>
      </c>
      <c r="D159" s="11" t="s">
        <v>721</v>
      </c>
    </row>
    <row r="160" customFormat="false" ht="15" hidden="false" customHeight="false" outlineLevel="0" collapsed="false">
      <c r="A160" s="10" t="s">
        <v>475</v>
      </c>
      <c r="B160" s="10" t="s">
        <v>664</v>
      </c>
      <c r="C160" s="10" t="s">
        <v>720</v>
      </c>
      <c r="D160" s="11" t="s">
        <v>721</v>
      </c>
    </row>
    <row r="161" customFormat="false" ht="15" hidden="false" customHeight="false" outlineLevel="0" collapsed="false">
      <c r="A161" s="10" t="s">
        <v>475</v>
      </c>
      <c r="B161" s="10" t="s">
        <v>448</v>
      </c>
      <c r="C161" s="10" t="s">
        <v>722</v>
      </c>
      <c r="D161" s="11" t="s">
        <v>723</v>
      </c>
    </row>
    <row r="162" customFormat="false" ht="15" hidden="false" customHeight="false" outlineLevel="0" collapsed="false">
      <c r="A162" s="10" t="s">
        <v>475</v>
      </c>
      <c r="B162" s="10" t="s">
        <v>448</v>
      </c>
      <c r="C162" s="10" t="s">
        <v>724</v>
      </c>
      <c r="D162" s="11" t="s">
        <v>723</v>
      </c>
    </row>
    <row r="163" customFormat="false" ht="15" hidden="false" customHeight="false" outlineLevel="0" collapsed="false">
      <c r="A163" s="10" t="s">
        <v>475</v>
      </c>
      <c r="B163" s="10" t="s">
        <v>608</v>
      </c>
      <c r="C163" s="10" t="s">
        <v>725</v>
      </c>
      <c r="D163" s="11" t="s">
        <v>726</v>
      </c>
    </row>
    <row r="164" customFormat="false" ht="15" hidden="false" customHeight="false" outlineLevel="0" collapsed="false">
      <c r="A164" s="10" t="s">
        <v>475</v>
      </c>
      <c r="B164" s="10" t="s">
        <v>727</v>
      </c>
      <c r="C164" s="10" t="s">
        <v>728</v>
      </c>
      <c r="D164" s="11" t="s">
        <v>729</v>
      </c>
    </row>
    <row r="165" customFormat="false" ht="15" hidden="false" customHeight="false" outlineLevel="0" collapsed="false">
      <c r="A165" s="10" t="s">
        <v>475</v>
      </c>
      <c r="B165" s="10" t="s">
        <v>727</v>
      </c>
      <c r="C165" s="10" t="s">
        <v>730</v>
      </c>
      <c r="D165" s="11" t="s">
        <v>729</v>
      </c>
    </row>
    <row r="166" customFormat="false" ht="15" hidden="false" customHeight="false" outlineLevel="0" collapsed="false">
      <c r="A166" s="10" t="s">
        <v>475</v>
      </c>
      <c r="B166" s="10" t="s">
        <v>523</v>
      </c>
      <c r="C166" s="10" t="s">
        <v>728</v>
      </c>
      <c r="D166" s="11" t="s">
        <v>729</v>
      </c>
    </row>
    <row r="167" customFormat="false" ht="15" hidden="false" customHeight="false" outlineLevel="0" collapsed="false">
      <c r="A167" s="10" t="s">
        <v>475</v>
      </c>
      <c r="B167" s="10" t="s">
        <v>523</v>
      </c>
      <c r="C167" s="10" t="s">
        <v>730</v>
      </c>
      <c r="D167" s="11" t="s">
        <v>729</v>
      </c>
    </row>
    <row r="168" customFormat="false" ht="15" hidden="false" customHeight="false" outlineLevel="0" collapsed="false">
      <c r="A168" s="10" t="s">
        <v>475</v>
      </c>
      <c r="B168" s="10" t="s">
        <v>536</v>
      </c>
      <c r="C168" s="10" t="s">
        <v>731</v>
      </c>
      <c r="D168" s="11" t="s">
        <v>732</v>
      </c>
    </row>
    <row r="169" customFormat="false" ht="15" hidden="false" customHeight="false" outlineLevel="0" collapsed="false">
      <c r="A169" s="10" t="s">
        <v>475</v>
      </c>
      <c r="B169" s="10" t="s">
        <v>536</v>
      </c>
      <c r="C169" s="10" t="s">
        <v>733</v>
      </c>
      <c r="D169" s="11" t="s">
        <v>734</v>
      </c>
    </row>
    <row r="170" customFormat="false" ht="15" hidden="false" customHeight="false" outlineLevel="0" collapsed="false">
      <c r="A170" s="10" t="s">
        <v>475</v>
      </c>
      <c r="B170" s="10" t="s">
        <v>448</v>
      </c>
      <c r="C170" s="10" t="s">
        <v>735</v>
      </c>
      <c r="D170" s="11" t="s">
        <v>736</v>
      </c>
    </row>
    <row r="171" customFormat="false" ht="15" hidden="false" customHeight="false" outlineLevel="0" collapsed="false">
      <c r="A171" s="10" t="s">
        <v>475</v>
      </c>
      <c r="B171" s="10" t="s">
        <v>448</v>
      </c>
      <c r="C171" s="10" t="s">
        <v>737</v>
      </c>
      <c r="D171" s="11" t="s">
        <v>736</v>
      </c>
    </row>
    <row r="172" customFormat="false" ht="15" hidden="false" customHeight="false" outlineLevel="0" collapsed="false">
      <c r="A172" s="10" t="s">
        <v>738</v>
      </c>
      <c r="B172" s="10" t="s">
        <v>494</v>
      </c>
      <c r="C172" s="10" t="s">
        <v>739</v>
      </c>
      <c r="D172" s="11" t="s">
        <v>740</v>
      </c>
    </row>
    <row r="173" customFormat="false" ht="15" hidden="false" customHeight="false" outlineLevel="0" collapsed="false">
      <c r="A173" s="10" t="s">
        <v>738</v>
      </c>
      <c r="B173" s="10" t="s">
        <v>629</v>
      </c>
      <c r="C173" s="10" t="s">
        <v>105</v>
      </c>
      <c r="D173" s="11" t="s">
        <v>741</v>
      </c>
    </row>
    <row r="174" customFormat="false" ht="15" hidden="false" customHeight="false" outlineLevel="0" collapsed="false">
      <c r="A174" s="10" t="s">
        <v>738</v>
      </c>
      <c r="B174" s="10" t="s">
        <v>742</v>
      </c>
      <c r="C174" s="10" t="s">
        <v>105</v>
      </c>
      <c r="D174" s="11" t="s">
        <v>741</v>
      </c>
    </row>
    <row r="175" customFormat="false" ht="15" hidden="false" customHeight="false" outlineLevel="0" collapsed="false">
      <c r="A175" s="10" t="s">
        <v>738</v>
      </c>
      <c r="B175" s="10" t="s">
        <v>743</v>
      </c>
      <c r="C175" s="10" t="s">
        <v>744</v>
      </c>
      <c r="D175" s="11" t="s">
        <v>745</v>
      </c>
    </row>
    <row r="176" customFormat="false" ht="15" hidden="false" customHeight="false" outlineLevel="0" collapsed="false">
      <c r="A176" s="10" t="s">
        <v>738</v>
      </c>
      <c r="B176" s="10" t="s">
        <v>746</v>
      </c>
      <c r="C176" s="10" t="s">
        <v>747</v>
      </c>
      <c r="D176" s="11" t="s">
        <v>748</v>
      </c>
    </row>
    <row r="177" customFormat="false" ht="15" hidden="false" customHeight="false" outlineLevel="0" collapsed="false">
      <c r="A177" s="10" t="s">
        <v>738</v>
      </c>
      <c r="B177" s="10" t="s">
        <v>456</v>
      </c>
      <c r="C177" s="10" t="s">
        <v>749</v>
      </c>
      <c r="D177" s="11" t="s">
        <v>750</v>
      </c>
    </row>
    <row r="178" customFormat="false" ht="15" hidden="false" customHeight="false" outlineLevel="0" collapsed="false">
      <c r="A178" s="10" t="s">
        <v>738</v>
      </c>
      <c r="B178" s="10" t="s">
        <v>585</v>
      </c>
      <c r="C178" s="10" t="s">
        <v>751</v>
      </c>
      <c r="D178" s="11" t="s">
        <v>752</v>
      </c>
    </row>
    <row r="179" customFormat="false" ht="15" hidden="false" customHeight="false" outlineLevel="0" collapsed="false">
      <c r="A179" s="10" t="s">
        <v>738</v>
      </c>
      <c r="B179" s="10" t="s">
        <v>753</v>
      </c>
      <c r="C179" s="10" t="s">
        <v>754</v>
      </c>
      <c r="D179" s="11" t="s">
        <v>755</v>
      </c>
    </row>
    <row r="180" customFormat="false" ht="15" hidden="false" customHeight="false" outlineLevel="0" collapsed="false">
      <c r="A180" s="10" t="s">
        <v>738</v>
      </c>
      <c r="B180" s="10" t="s">
        <v>459</v>
      </c>
      <c r="C180" s="10" t="s">
        <v>756</v>
      </c>
      <c r="D180" s="11" t="s">
        <v>757</v>
      </c>
    </row>
    <row r="181" customFormat="false" ht="15" hidden="false" customHeight="false" outlineLevel="0" collapsed="false">
      <c r="A181" s="10" t="s">
        <v>738</v>
      </c>
      <c r="B181" s="10" t="s">
        <v>459</v>
      </c>
      <c r="C181" s="10" t="s">
        <v>758</v>
      </c>
      <c r="D181" s="11" t="s">
        <v>759</v>
      </c>
    </row>
    <row r="182" customFormat="false" ht="15" hidden="false" customHeight="false" outlineLevel="0" collapsed="false">
      <c r="A182" s="10" t="s">
        <v>738</v>
      </c>
      <c r="B182" s="10" t="s">
        <v>624</v>
      </c>
      <c r="C182" s="10" t="s">
        <v>232</v>
      </c>
      <c r="D182" s="11" t="s">
        <v>760</v>
      </c>
    </row>
    <row r="183" customFormat="false" ht="15" hidden="false" customHeight="false" outlineLevel="0" collapsed="false">
      <c r="A183" s="10" t="s">
        <v>738</v>
      </c>
      <c r="B183" s="10" t="s">
        <v>624</v>
      </c>
      <c r="C183" s="10" t="s">
        <v>761</v>
      </c>
      <c r="D183" s="11" t="s">
        <v>762</v>
      </c>
    </row>
    <row r="184" customFormat="false" ht="15" hidden="false" customHeight="false" outlineLevel="0" collapsed="false">
      <c r="A184" s="10" t="s">
        <v>738</v>
      </c>
      <c r="B184" s="10" t="s">
        <v>763</v>
      </c>
      <c r="C184" s="10" t="s">
        <v>764</v>
      </c>
      <c r="D184" s="11" t="s">
        <v>765</v>
      </c>
    </row>
    <row r="185" customFormat="false" ht="15" hidden="false" customHeight="false" outlineLevel="0" collapsed="false">
      <c r="A185" s="10" t="s">
        <v>738</v>
      </c>
      <c r="B185" s="10" t="s">
        <v>763</v>
      </c>
      <c r="C185" s="10" t="s">
        <v>766</v>
      </c>
      <c r="D185" s="11" t="s">
        <v>765</v>
      </c>
    </row>
    <row r="186" customFormat="false" ht="15" hidden="false" customHeight="false" outlineLevel="0" collapsed="false">
      <c r="A186" s="10" t="s">
        <v>738</v>
      </c>
      <c r="B186" s="10" t="s">
        <v>514</v>
      </c>
      <c r="C186" s="10" t="s">
        <v>105</v>
      </c>
      <c r="D186" s="11" t="s">
        <v>741</v>
      </c>
    </row>
    <row r="187" customFormat="false" ht="15" hidden="false" customHeight="false" outlineLevel="0" collapsed="false">
      <c r="A187" s="10" t="s">
        <v>738</v>
      </c>
      <c r="B187" s="10" t="s">
        <v>653</v>
      </c>
      <c r="C187" s="10" t="s">
        <v>767</v>
      </c>
      <c r="D187" s="11" t="s">
        <v>768</v>
      </c>
    </row>
    <row r="188" customFormat="false" ht="15" hidden="false" customHeight="false" outlineLevel="0" collapsed="false">
      <c r="A188" s="10" t="s">
        <v>738</v>
      </c>
      <c r="B188" s="10" t="s">
        <v>653</v>
      </c>
      <c r="C188" s="10" t="s">
        <v>769</v>
      </c>
      <c r="D188" s="11" t="s">
        <v>768</v>
      </c>
    </row>
    <row r="189" customFormat="false" ht="15" hidden="false" customHeight="false" outlineLevel="0" collapsed="false">
      <c r="A189" s="10" t="s">
        <v>738</v>
      </c>
      <c r="B189" s="10" t="s">
        <v>657</v>
      </c>
      <c r="C189" s="10" t="s">
        <v>770</v>
      </c>
      <c r="D189" s="11" t="s">
        <v>771</v>
      </c>
    </row>
    <row r="190" customFormat="false" ht="15" hidden="false" customHeight="false" outlineLevel="0" collapsed="false">
      <c r="A190" s="10" t="s">
        <v>738</v>
      </c>
      <c r="B190" s="10" t="s">
        <v>657</v>
      </c>
      <c r="C190" s="10" t="s">
        <v>772</v>
      </c>
      <c r="D190" s="11" t="s">
        <v>771</v>
      </c>
    </row>
    <row r="191" customFormat="false" ht="15" hidden="false" customHeight="false" outlineLevel="0" collapsed="false">
      <c r="A191" s="10" t="s">
        <v>738</v>
      </c>
      <c r="B191" s="10" t="s">
        <v>660</v>
      </c>
      <c r="C191" s="10" t="s">
        <v>116</v>
      </c>
      <c r="D191" s="11" t="s">
        <v>773</v>
      </c>
    </row>
    <row r="192" customFormat="false" ht="15" hidden="false" customHeight="false" outlineLevel="0" collapsed="false">
      <c r="A192" s="10" t="s">
        <v>738</v>
      </c>
      <c r="B192" s="10" t="s">
        <v>556</v>
      </c>
      <c r="C192" s="10" t="s">
        <v>319</v>
      </c>
      <c r="D192" s="11" t="s">
        <v>774</v>
      </c>
    </row>
    <row r="193" customFormat="false" ht="15" hidden="false" customHeight="false" outlineLevel="0" collapsed="false">
      <c r="A193" s="10" t="s">
        <v>738</v>
      </c>
      <c r="B193" s="10" t="s">
        <v>448</v>
      </c>
      <c r="C193" s="10" t="s">
        <v>775</v>
      </c>
      <c r="D193" s="11" t="s">
        <v>776</v>
      </c>
    </row>
    <row r="194" customFormat="false" ht="15" hidden="false" customHeight="false" outlineLevel="0" collapsed="false">
      <c r="A194" s="10" t="s">
        <v>738</v>
      </c>
      <c r="B194" s="10" t="s">
        <v>448</v>
      </c>
      <c r="C194" s="10" t="s">
        <v>777</v>
      </c>
      <c r="D194" s="11" t="s">
        <v>778</v>
      </c>
    </row>
    <row r="195" customFormat="false" ht="15" hidden="false" customHeight="false" outlineLevel="0" collapsed="false">
      <c r="A195" s="10" t="s">
        <v>738</v>
      </c>
      <c r="B195" s="10" t="s">
        <v>448</v>
      </c>
      <c r="C195" s="10" t="s">
        <v>779</v>
      </c>
      <c r="D195" s="11" t="s">
        <v>780</v>
      </c>
    </row>
    <row r="196" customFormat="false" ht="15" hidden="false" customHeight="false" outlineLevel="0" collapsed="false">
      <c r="A196" s="10" t="s">
        <v>738</v>
      </c>
      <c r="B196" s="10" t="s">
        <v>448</v>
      </c>
      <c r="C196" s="10" t="s">
        <v>781</v>
      </c>
      <c r="D196" s="11" t="s">
        <v>780</v>
      </c>
    </row>
    <row r="197" customFormat="false" ht="15" hidden="false" customHeight="false" outlineLevel="0" collapsed="false">
      <c r="A197" s="10" t="s">
        <v>738</v>
      </c>
      <c r="B197" s="10" t="s">
        <v>555</v>
      </c>
      <c r="C197" s="10" t="s">
        <v>782</v>
      </c>
      <c r="D197" s="11" t="s">
        <v>783</v>
      </c>
    </row>
    <row r="198" customFormat="false" ht="15" hidden="false" customHeight="false" outlineLevel="0" collapsed="false">
      <c r="A198" s="10" t="s">
        <v>738</v>
      </c>
      <c r="B198" s="10" t="s">
        <v>472</v>
      </c>
      <c r="C198" s="10" t="s">
        <v>784</v>
      </c>
      <c r="D198" s="11" t="s">
        <v>785</v>
      </c>
    </row>
    <row r="199" customFormat="false" ht="15" hidden="false" customHeight="false" outlineLevel="0" collapsed="false">
      <c r="A199" s="10" t="s">
        <v>738</v>
      </c>
      <c r="B199" s="10" t="s">
        <v>472</v>
      </c>
      <c r="C199" s="10" t="s">
        <v>786</v>
      </c>
      <c r="D199" s="11" t="s">
        <v>787</v>
      </c>
    </row>
    <row r="200" customFormat="false" ht="15" hidden="false" customHeight="false" outlineLevel="0" collapsed="false">
      <c r="A200" s="10" t="s">
        <v>738</v>
      </c>
      <c r="B200" s="10" t="s">
        <v>788</v>
      </c>
      <c r="C200" s="10" t="s">
        <v>789</v>
      </c>
      <c r="D200" s="11" t="s">
        <v>790</v>
      </c>
    </row>
    <row r="201" customFormat="false" ht="15" hidden="false" customHeight="false" outlineLevel="0" collapsed="false">
      <c r="A201" s="10" t="s">
        <v>738</v>
      </c>
      <c r="B201" s="10" t="s">
        <v>791</v>
      </c>
      <c r="C201" s="10" t="s">
        <v>792</v>
      </c>
      <c r="D201" s="11" t="s">
        <v>793</v>
      </c>
    </row>
    <row r="202" customFormat="false" ht="15" hidden="false" customHeight="false" outlineLevel="0" collapsed="false">
      <c r="A202" s="10" t="s">
        <v>738</v>
      </c>
      <c r="B202" s="10" t="s">
        <v>791</v>
      </c>
      <c r="C202" s="10" t="s">
        <v>794</v>
      </c>
      <c r="D202" s="11" t="s">
        <v>793</v>
      </c>
    </row>
    <row r="203" customFormat="false" ht="15" hidden="false" customHeight="false" outlineLevel="0" collapsed="false">
      <c r="A203" s="10" t="s">
        <v>738</v>
      </c>
      <c r="B203" s="10" t="s">
        <v>536</v>
      </c>
      <c r="C203" s="10" t="s">
        <v>795</v>
      </c>
      <c r="D203" s="11" t="s">
        <v>796</v>
      </c>
    </row>
    <row r="204" customFormat="false" ht="15" hidden="false" customHeight="false" outlineLevel="0" collapsed="false">
      <c r="A204" s="10" t="s">
        <v>738</v>
      </c>
      <c r="B204" s="10" t="s">
        <v>623</v>
      </c>
      <c r="C204" s="10" t="s">
        <v>797</v>
      </c>
      <c r="D204" s="11" t="s">
        <v>798</v>
      </c>
    </row>
    <row r="205" customFormat="false" ht="15" hidden="false" customHeight="false" outlineLevel="0" collapsed="false">
      <c r="A205" s="10" t="s">
        <v>738</v>
      </c>
      <c r="B205" s="10" t="s">
        <v>623</v>
      </c>
      <c r="C205" s="10" t="s">
        <v>758</v>
      </c>
      <c r="D205" s="11" t="s">
        <v>759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10"/>
    <col collapsed="false" customWidth="true" hidden="false" outlineLevel="0" max="3" min="3" style="0" width="15"/>
    <col collapsed="false" customWidth="true" hidden="false" outlineLevel="0" max="4" min="4" style="0" width="11"/>
    <col collapsed="false" customWidth="true" hidden="false" outlineLevel="0" max="6" min="5" style="0" width="12"/>
    <col collapsed="false" customWidth="true" hidden="false" outlineLevel="0" max="7" min="7" style="0" width="9"/>
    <col collapsed="false" customWidth="true" hidden="false" outlineLevel="0" max="8" min="8" style="0" width="11"/>
  </cols>
  <sheetData>
    <row r="1" customFormat="false" ht="27.75" hidden="false" customHeight="true" outlineLevel="0" collapsed="false">
      <c r="A1" s="1" t="s">
        <v>2</v>
      </c>
      <c r="B1" s="1" t="s">
        <v>799</v>
      </c>
      <c r="C1" s="1" t="s">
        <v>800</v>
      </c>
      <c r="D1" s="1" t="s">
        <v>801</v>
      </c>
      <c r="E1" s="1" t="s">
        <v>802</v>
      </c>
      <c r="F1" s="1" t="s">
        <v>803</v>
      </c>
      <c r="G1" s="1" t="s">
        <v>804</v>
      </c>
      <c r="H1" s="1" t="s">
        <v>805</v>
      </c>
    </row>
    <row r="2" customFormat="false" ht="15" hidden="false" customHeight="false" outlineLevel="0" collapsed="false">
      <c r="A2" s="12" t="s">
        <v>26</v>
      </c>
      <c r="B2" s="13" t="n">
        <v>5697</v>
      </c>
      <c r="C2" s="13" t="n">
        <v>43</v>
      </c>
      <c r="D2" s="14" t="n">
        <v>7.55</v>
      </c>
      <c r="E2" s="13" t="n">
        <v>23</v>
      </c>
      <c r="F2" s="13" t="n">
        <v>4.04</v>
      </c>
      <c r="G2" s="13" t="n">
        <v>66</v>
      </c>
      <c r="H2" s="13" t="n">
        <v>11.59</v>
      </c>
    </row>
    <row r="3" customFormat="false" ht="15" hidden="false" customHeight="false" outlineLevel="0" collapsed="false">
      <c r="A3" s="12" t="s">
        <v>12</v>
      </c>
      <c r="B3" s="13" t="n">
        <v>20920</v>
      </c>
      <c r="C3" s="13" t="n">
        <v>9</v>
      </c>
      <c r="D3" s="13" t="n">
        <v>0.43</v>
      </c>
      <c r="E3" s="13" t="n">
        <v>88</v>
      </c>
      <c r="F3" s="13" t="n">
        <v>4.21</v>
      </c>
      <c r="G3" s="13" t="n">
        <v>97</v>
      </c>
      <c r="H3" s="13" t="n">
        <v>4.64</v>
      </c>
    </row>
    <row r="4" customFormat="false" ht="15" hidden="false" customHeight="false" outlineLevel="0" collapsed="false">
      <c r="A4" s="12" t="s">
        <v>806</v>
      </c>
      <c r="B4" s="13" t="n">
        <v>1576</v>
      </c>
      <c r="C4" s="13" t="n">
        <v>0</v>
      </c>
      <c r="D4" s="13" t="n">
        <v>0</v>
      </c>
      <c r="E4" s="13" t="n">
        <v>5</v>
      </c>
      <c r="F4" s="13" t="n">
        <v>3.17</v>
      </c>
      <c r="G4" s="13" t="n">
        <v>5</v>
      </c>
      <c r="H4" s="13" t="n">
        <v>3.17</v>
      </c>
    </row>
    <row r="5" customFormat="false" ht="15" hidden="false" customHeight="false" outlineLevel="0" collapsed="false">
      <c r="A5" s="12" t="s">
        <v>104</v>
      </c>
      <c r="B5" s="13" t="n">
        <v>3068</v>
      </c>
      <c r="C5" s="13" t="n">
        <v>1</v>
      </c>
      <c r="D5" s="13" t="n">
        <v>0.33</v>
      </c>
      <c r="E5" s="13" t="n">
        <v>3</v>
      </c>
      <c r="F5" s="13" t="n">
        <v>0.98</v>
      </c>
      <c r="G5" s="13" t="n">
        <v>4</v>
      </c>
      <c r="H5" s="13" t="n">
        <v>1.3</v>
      </c>
    </row>
    <row r="6" customFormat="false" ht="15" hidden="false" customHeight="false" outlineLevel="0" collapsed="false">
      <c r="A6" s="15" t="s">
        <v>807</v>
      </c>
      <c r="B6" s="16" t="n">
        <v>31261</v>
      </c>
      <c r="C6" s="16" t="n">
        <v>53</v>
      </c>
      <c r="D6" s="16" t="n">
        <v>1.7</v>
      </c>
      <c r="E6" s="16" t="n">
        <v>119</v>
      </c>
      <c r="F6" s="16" t="n">
        <v>3.81</v>
      </c>
      <c r="G6" s="16" t="n">
        <v>172</v>
      </c>
      <c r="H6" s="16" t="n">
        <v>5.5</v>
      </c>
    </row>
    <row r="8" customFormat="false" ht="15" hidden="false" customHeight="false" outlineLevel="0" collapsed="false">
      <c r="A8" s="17" t="s">
        <v>808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4"/>
    <col collapsed="false" customWidth="true" hidden="false" outlineLevel="0" max="2" min="2" style="0" width="14"/>
  </cols>
  <sheetData>
    <row r="1" customFormat="false" ht="17.35" hidden="false" customHeight="false" outlineLevel="0" collapsed="false">
      <c r="A1" s="18" t="s">
        <v>809</v>
      </c>
    </row>
    <row r="2" customFormat="false" ht="15" hidden="false" customHeight="false" outlineLevel="0" collapsed="false">
      <c r="A2" s="19" t="s">
        <v>810</v>
      </c>
    </row>
    <row r="4" customFormat="false" ht="16.15" hidden="false" customHeight="false" outlineLevel="0" collapsed="false">
      <c r="A4" s="20" t="s">
        <v>811</v>
      </c>
    </row>
    <row r="5" customFormat="false" ht="15" hidden="false" customHeight="false" outlineLevel="0" collapsed="false">
      <c r="A5" s="21" t="s">
        <v>812</v>
      </c>
      <c r="B5" s="22" t="n">
        <f aca="false">COUNTIF('Textual (A–C)'!A:A,"A")</f>
        <v>26</v>
      </c>
    </row>
    <row r="6" customFormat="false" ht="15" hidden="false" customHeight="false" outlineLevel="0" collapsed="false">
      <c r="A6" s="21" t="s">
        <v>813</v>
      </c>
      <c r="B6" s="22" t="n">
        <f aca="false">COUNTIF('Textual (A–C)'!A:A,"B")</f>
        <v>17</v>
      </c>
    </row>
    <row r="7" customFormat="false" ht="15" hidden="false" customHeight="false" outlineLevel="0" collapsed="false">
      <c r="A7" s="21" t="s">
        <v>814</v>
      </c>
      <c r="B7" s="22" t="n">
        <f aca="false">COUNTIF('Textual (A–C)'!A:A,"C")</f>
        <v>10</v>
      </c>
    </row>
    <row r="8" customFormat="false" ht="15" hidden="false" customHeight="false" outlineLevel="0" collapsed="false">
      <c r="A8" s="21" t="s">
        <v>815</v>
      </c>
      <c r="B8" s="22" t="n">
        <f aca="false">COUNTA('Thematic (D)'!A2:A2000)-1</f>
        <v>118</v>
      </c>
    </row>
    <row r="9" customFormat="false" ht="15" hidden="false" customHeight="false" outlineLevel="0" collapsed="false">
      <c r="A9" s="23" t="s">
        <v>816</v>
      </c>
      <c r="B9" s="24" t="n">
        <f aca="false">COUNTA('Textual (A–C)'!A2:A2000)-1+COUNTA('Thematic (D)'!A2:A2000)-1</f>
        <v>170</v>
      </c>
    </row>
    <row r="11" customFormat="false" ht="16.15" hidden="false" customHeight="false" outlineLevel="0" collapsed="false">
      <c r="A11" s="20" t="s">
        <v>817</v>
      </c>
    </row>
    <row r="12" customFormat="false" ht="15" hidden="false" customHeight="false" outlineLevel="0" collapsed="false">
      <c r="A12" s="21" t="s">
        <v>818</v>
      </c>
      <c r="B12" s="22" t="n">
        <f aca="false">COUNTIF('Textual (A–C)'!C:C,"Proslogion")</f>
        <v>43</v>
      </c>
    </row>
    <row r="13" customFormat="false" ht="15" hidden="false" customHeight="false" outlineLevel="0" collapsed="false">
      <c r="A13" s="21" t="s">
        <v>819</v>
      </c>
      <c r="B13" s="22" t="n">
        <f aca="false">COUNTIF('Textual (A–C)'!C:C,"Monologion")</f>
        <v>9</v>
      </c>
    </row>
    <row r="14" customFormat="false" ht="15" hidden="false" customHeight="false" outlineLevel="0" collapsed="false">
      <c r="A14" s="21" t="s">
        <v>820</v>
      </c>
      <c r="B14" s="22" t="n">
        <f aca="false">COUNTIF('Textual (A–C)'!C:C,"Pro_insipiente")</f>
        <v>0</v>
      </c>
    </row>
    <row r="15" customFormat="false" ht="15" hidden="false" customHeight="false" outlineLevel="0" collapsed="false">
      <c r="A15" s="21" t="s">
        <v>821</v>
      </c>
      <c r="B15" s="22" t="n">
        <f aca="false">COUNTIF('Textual (A–C)'!C:C,"Responsio")</f>
        <v>1</v>
      </c>
    </row>
    <row r="17" customFormat="false" ht="16.15" hidden="false" customHeight="false" outlineLevel="0" collapsed="false">
      <c r="A17" s="20" t="s">
        <v>822</v>
      </c>
    </row>
    <row r="18" customFormat="false" ht="15" hidden="false" customHeight="false" outlineLevel="0" collapsed="false">
      <c r="A18" s="21" t="s">
        <v>823</v>
      </c>
      <c r="B18" s="22" t="s">
        <v>824</v>
      </c>
    </row>
    <row r="19" customFormat="false" ht="15" hidden="false" customHeight="false" outlineLevel="0" collapsed="false">
      <c r="A19" s="21" t="s">
        <v>825</v>
      </c>
      <c r="B19" s="22" t="s">
        <v>826</v>
      </c>
    </row>
    <row r="20" customFormat="false" ht="15" hidden="false" customHeight="false" outlineLevel="0" collapsed="false">
      <c r="A20" s="21" t="s">
        <v>827</v>
      </c>
      <c r="B20" s="22" t="s">
        <v>828</v>
      </c>
    </row>
    <row r="21" customFormat="false" ht="15" hidden="false" customHeight="false" outlineLevel="0" collapsed="false">
      <c r="A21" s="21" t="s">
        <v>829</v>
      </c>
      <c r="B21" s="22" t="s">
        <v>830</v>
      </c>
    </row>
    <row r="23" customFormat="false" ht="16.15" hidden="false" customHeight="false" outlineLevel="0" collapsed="false">
      <c r="A23" s="20" t="s">
        <v>831</v>
      </c>
    </row>
    <row r="24" customFormat="false" ht="15" hidden="false" customHeight="false" outlineLevel="0" collapsed="false">
      <c r="A24" s="17" t="s">
        <v>832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2026-06-23T21:31:23Z</dcterms:created>
  <dc:creator>openpyxl</dc:creator>
  <dc:description/>
  <dc:language>en-US</dc:language>
  <cp:lastModifiedBy/>
  <dcterms:modified xsi:type="dcterms:W3CDTF">2026-06-23T21:31:23Z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